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5/CAMUL-MEI (1sem)/TP/QEF final/"/>
    </mc:Choice>
  </mc:AlternateContent>
  <xr:revisionPtr revIDLastSave="0" documentId="8_{77033888-5397-6A4E-A601-2CF7DD7AEDB4}" xr6:coauthVersionLast="47" xr6:coauthVersionMax="47" xr10:uidLastSave="{00000000-0000-0000-0000-000000000000}"/>
  <bookViews>
    <workbookView xWindow="0" yWindow="740" windowWidth="23260" windowHeight="12580" xr2:uid="{00000000-000D-0000-FFFF-FFFF00000000}"/>
  </bookViews>
  <sheets>
    <sheet name="QEF" sheetId="9" r:id="rId1"/>
    <sheet name="QEF (antigo)" sheetId="5" state="hidden" r:id="rId2"/>
    <sheet name="Functionality" sheetId="6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F5" i="9"/>
  <c r="F27" i="9"/>
  <c r="F26" i="9"/>
  <c r="F22" i="9"/>
  <c r="F7" i="9"/>
  <c r="F15" i="9"/>
  <c r="F19" i="9"/>
  <c r="E15" i="9"/>
  <c r="F2" i="5"/>
  <c r="E2" i="9"/>
  <c r="E5" i="9"/>
  <c r="E7" i="9"/>
  <c r="E19" i="9"/>
  <c r="E22" i="9"/>
  <c r="E26" i="9"/>
  <c r="E27" i="9"/>
  <c r="E24" i="5"/>
  <c r="E22" i="5"/>
  <c r="E20" i="5"/>
  <c r="E18" i="5"/>
  <c r="E15" i="5"/>
  <c r="E11" i="5"/>
  <c r="E8" i="5"/>
  <c r="E2" i="5"/>
  <c r="E6" i="5"/>
  <c r="F24" i="5"/>
  <c r="F22" i="5"/>
  <c r="F20" i="5"/>
  <c r="F18" i="5"/>
  <c r="F15" i="5"/>
  <c r="F11" i="5"/>
  <c r="F8" i="5"/>
  <c r="F6" i="5"/>
  <c r="C2" i="9" l="1"/>
  <c r="C7" i="9"/>
  <c r="C22" i="9"/>
  <c r="C20" i="5"/>
  <c r="C11" i="5"/>
  <c r="C2" i="5"/>
  <c r="A2" i="9" l="1"/>
  <c r="B2" i="9"/>
  <c r="B2" i="5"/>
  <c r="A2" i="5"/>
</calcChain>
</file>

<file path=xl/sharedStrings.xml><?xml version="1.0" encoding="utf-8"?>
<sst xmlns="http://schemas.openxmlformats.org/spreadsheetml/2006/main" count="299" uniqueCount="216">
  <si>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</si>
  <si>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</si>
  <si>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</si>
  <si>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</si>
  <si>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</si>
  <si>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</si>
  <si>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</si>
  <si>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</si>
  <si>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</si>
  <si>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</si>
  <si>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Notes</t>
  </si>
  <si>
    <t>Functionality</t>
  </si>
  <si>
    <t>Website Interaction</t>
  </si>
  <si>
    <t>FW01 - Host the content of the Website</t>
  </si>
  <si>
    <t>FW02 - Front-end/footer page capable of loading and showing any menu/index</t>
  </si>
  <si>
    <t>FW03 - Buttons functionality, if it presses where does it go</t>
  </si>
  <si>
    <t>Accessibility Design</t>
  </si>
  <si>
    <t>FA01 - Settings for color blindness, friendly colors</t>
  </si>
  <si>
    <t>The default theme for the website consists of a blue and yellow shades that were determined to be friendly to all types of colorblindness</t>
  </si>
  <si>
    <t>FA02 - Keyboard Navigation</t>
  </si>
  <si>
    <t>The MOOC lessons page allows navigation by keyboard</t>
  </si>
  <si>
    <t>Aesthetic</t>
  </si>
  <si>
    <t>Visual Harmony and Appeal</t>
  </si>
  <si>
    <t>AV01 - Consistency in color scheme and design, cohesive with the brand</t>
  </si>
  <si>
    <t>The color scheme, blue and yellow, are consistent with the colors of the MOOC lessons, that established our brand</t>
  </si>
  <si>
    <t>AV02 - Balanced use of positive and negative space for content</t>
  </si>
  <si>
    <t>Balanced positive and negative space is used in most pages</t>
  </si>
  <si>
    <t>AV03 - Balanced use of visual weight</t>
  </si>
  <si>
    <t>Balanced visual weight is used in most pages</t>
  </si>
  <si>
    <t>AV04 - Contrast: difference between font color and background color (with significant contrast to avoid combination of similar colors)</t>
  </si>
  <si>
    <t>AV05 - Use of simetry and assimetry according to the page content</t>
  </si>
  <si>
    <t>AV06 - High-quality and visually appealing elements</t>
  </si>
  <si>
    <t>AV07 - Adherence to Rule of Thirds</t>
  </si>
  <si>
    <t>The main page adheres to the Rule of Thirds</t>
  </si>
  <si>
    <t>AV08 - Graphic design: balance, alignment, emphasis, proportion, movement, pattern, contrast, unity</t>
  </si>
  <si>
    <t>Readibility</t>
  </si>
  <si>
    <t>AR01 - Appropriate text size, color and font type</t>
  </si>
  <si>
    <t>Font was kept monstly black, and non-serifed, to be accessible to everyone. Text size is visible, and abides by the information hierarchy</t>
  </si>
  <si>
    <t>AR02 - Serif or sans-serif typography</t>
  </si>
  <si>
    <t>AR03 - Adequate line spacing and length</t>
  </si>
  <si>
    <t xml:space="preserve">Line spacing and length were kept at </t>
  </si>
  <si>
    <t>AR04 - Well-structured paragraphs and headings</t>
  </si>
  <si>
    <t>Organization</t>
  </si>
  <si>
    <t>AO01 - Intuintive placement and emphasis on important content</t>
  </si>
  <si>
    <t>AO02 - Visual hierarchy, organize elements according to their relevance (use: size, position, color, typography)</t>
  </si>
  <si>
    <t>AO03 - Proper categorization and labeling of content</t>
  </si>
  <si>
    <t>Usability</t>
  </si>
  <si>
    <t>Ease of use</t>
  </si>
  <si>
    <t>UE01 - Allow students to browse the content with ease</t>
  </si>
  <si>
    <t>UE02 - Logical grouping of menu items</t>
  </si>
  <si>
    <t>Menu items grouped into logical dropdowns</t>
  </si>
  <si>
    <t>UE03 - User-friendly and responsive navigation for different devices</t>
  </si>
  <si>
    <t>All pages are user friendly, and some are partially responsive, but none are 100% responsive, so unfortunately these metrics are not met</t>
  </si>
  <si>
    <t>UE04 - Content and screens structured in an intuitive manner</t>
  </si>
  <si>
    <t>Engagement</t>
  </si>
  <si>
    <t xml:space="preserve">UN01 - Grab and keep student's attention and engagement </t>
  </si>
  <si>
    <t>Performance</t>
  </si>
  <si>
    <t>UP01 - Good Performance, capable of handling a large number of simultaneous users</t>
  </si>
  <si>
    <t>UP02 - Scalable, capable of adding future lessons and content with ease</t>
  </si>
  <si>
    <t xml:space="preserve">1 - regra dos terços: colocar elementos importantes nas arestas e nos power points, esquerda ou direita? </t>
  </si>
  <si>
    <t>2 - design gráficos: equilíbrio, alinhamento, ênfase, proporção, movimento, padrão, contraste, unidade.</t>
  </si>
  <si>
    <t>3 - espaço negativo (espaço em branco / descanso visual, destaque, oraganizaçao) e positivo(área ocupada pelos elementos visuais / conteúdo principal, hierquia visual, interação visual)</t>
  </si>
  <si>
    <t>4 - escolha da tipografia: serifada (mais formal e clássica), não serifada (mais moderna e limpa)</t>
  </si>
  <si>
    <t>5 - contraste: diferença entre cor da fonte e a cor do fundo (cores de fonte e fundo com contraste significativo, evitar combinação de cores semelhantes)</t>
  </si>
  <si>
    <t>6 - tamanho: da fonte facilmente legível e considerar experienca do utilizador (dispositivos moveis)</t>
  </si>
  <si>
    <t>7 - hierarquia visual: organizar elementos de acordo com a sua relevância (usar: tamanho, posição, cor, tipografia)</t>
  </si>
  <si>
    <t>8 - equilíbrio assimétrico: envolve a distibuicao de elementos diferentes numa composição, mantendo equilíbrio visual (distribuição não uniforme, dinamismo e interesse / dinâmico e interessante, jogar com o contraste)</t>
  </si>
  <si>
    <t>9 - equilíbrio simétrico</t>
  </si>
  <si>
    <t>10- peso visual: sensação q alguns elementos numa composição atraem mais do q outros (como usar: hierquia visual, direcionamento do olhar, equilíbrio)</t>
  </si>
  <si>
    <t>Readability</t>
  </si>
  <si>
    <t>Typography</t>
  </si>
  <si>
    <t>RT01 - Legible font choice</t>
  </si>
  <si>
    <t>RT02 - Appropriate font size for body text</t>
  </si>
  <si>
    <t>RT03 - Clear contrast between text and background</t>
  </si>
  <si>
    <t>RT04 - Use of serif and non-serif fonts accordingly to the website style</t>
  </si>
  <si>
    <t>Line Spacing and Line Length</t>
  </si>
  <si>
    <t>RL01 - Adequate line spacing and easy reading</t>
  </si>
  <si>
    <t>RL02 - Optimal line length to avoid eye strain</t>
  </si>
  <si>
    <t>Readibility of Content</t>
  </si>
  <si>
    <t>RR01 - Well-structured paragraphs and headings</t>
  </si>
  <si>
    <t>RR02 - Use of bullet points and lists for readibility</t>
  </si>
  <si>
    <t>RR03 - Avoidance of excessive jargon and complex language</t>
  </si>
  <si>
    <t>Visual Harmony</t>
  </si>
  <si>
    <t>AVH01 - Consistency in color scheme and design elements</t>
  </si>
  <si>
    <t>AVH02 - Balanced use of positive and negative space for content</t>
  </si>
  <si>
    <t>AVH03 - Balanced use of visual weight</t>
  </si>
  <si>
    <t>Products page weigths are random, not balanced; About page has those tree areas with different weigths when they are equally important</t>
  </si>
  <si>
    <t>AVH04 - Use of simetry and assimetry according to the page content</t>
  </si>
  <si>
    <t>About page has those tree areas assymetrically when they are equally important, should be simmetrical</t>
  </si>
  <si>
    <t>Visual Appeal</t>
  </si>
  <si>
    <t>AVA01 - High-quality and visually appealing images and graphics</t>
  </si>
  <si>
    <t>AVA02 - Cohesive design that alligns with the website's purpose or brand</t>
  </si>
  <si>
    <t>AVA03 - Adherence to Rule of Thirds</t>
  </si>
  <si>
    <t>Products page doesn't use rule of thirds</t>
  </si>
  <si>
    <t>User Engagement</t>
  </si>
  <si>
    <t>AU01 - Use of attention-grabbing elements without overwhelming the user</t>
  </si>
  <si>
    <t>AU02 - Clear and enticing call-to-action buttons</t>
  </si>
  <si>
    <t>Only the main page really has buttons..</t>
  </si>
  <si>
    <t>Information Hierarchy</t>
  </si>
  <si>
    <t>OI01 - Clear distinction between main content and supplementary information</t>
  </si>
  <si>
    <t>OI02 - Intuintive placement of important content</t>
  </si>
  <si>
    <t>In the products page, the title is on the right instead of left, and the products are randomly positioned</t>
  </si>
  <si>
    <t>Navigation Menu</t>
  </si>
  <si>
    <t>ON01 - Logical grouping of menu items</t>
  </si>
  <si>
    <t>Only the main page really has more than one menu item..</t>
  </si>
  <si>
    <t>ON02 - User-friendly and responsive navigation for different devices</t>
  </si>
  <si>
    <t>responsiveness was not taken into account</t>
  </si>
  <si>
    <t>Content Categorization</t>
  </si>
  <si>
    <t>OC01 - Proper categorization and labeling of content</t>
  </si>
  <si>
    <t>The products are not labeled. The main page has buttons labeled and both it and the about page categorize their content´</t>
  </si>
  <si>
    <t>OC02 - Effective use of heading, subheading, and labels</t>
  </si>
  <si>
    <t>Funcionalidade</t>
  </si>
  <si>
    <t>Usabilidade</t>
  </si>
  <si>
    <t xml:space="preserve">tanto faz no fim pk vamos eliminar as outras, mas </t>
  </si>
  <si>
    <t>Wfk - Fullfilment (%)</t>
  </si>
  <si>
    <t>Metric Evaluation</t>
  </si>
  <si>
    <t>FI01 - Host the content of the MOOC course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</si>
  <si>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</si>
  <si>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</si>
  <si>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</si>
  <si>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Website can host video, quizzes and extra materials.</t>
  </si>
  <si>
    <t>FI02 - Front-end page capable of loading and showing any lesson's content to the platform</t>
  </si>
  <si>
    <t>The platform is able to be used to select any part of the course and watch it, also gathering the extra materials.</t>
  </si>
  <si>
    <t>You cannot watch a lesson in the website.</t>
  </si>
  <si>
    <t>You can watch a lesson, but the extra materials must be downloaded from udemy.</t>
  </si>
  <si>
    <t>You can watch a lesson and download extra content from the website itself.</t>
  </si>
  <si>
    <t>The website should have bottuns that if pressed goes to the specific location</t>
  </si>
  <si>
    <t>The website does not have buttons</t>
  </si>
  <si>
    <t>The website does have buttons, but don't function</t>
  </si>
  <si>
    <t>The website does have buttons and they function</t>
  </si>
  <si>
    <t>The website has color blindness symbols and friendly colors</t>
  </si>
  <si>
    <t>The website does not have color blindness symbols and friendly colors</t>
  </si>
  <si>
    <t>The website does not have color blindness symbols, but has friendly colors</t>
  </si>
  <si>
    <t>The website does have color blindness symbols and friendly colors</t>
  </si>
  <si>
    <t>The website has Keyboard Navigation</t>
  </si>
  <si>
    <t>The website does not have Keyboard Navigation</t>
  </si>
  <si>
    <t>Consistent and correct application of the brand color scheme across some pages</t>
  </si>
  <si>
    <t>Color scheme does not make sense in the page context</t>
  </si>
  <si>
    <t>Color scheme is used effectively to help the design of some pages</t>
  </si>
  <si>
    <t>Correct and Effective use of positive and negative space</t>
  </si>
  <si>
    <t>No page uses positive or negative space</t>
  </si>
  <si>
    <t>Some pages have white and positive space used</t>
  </si>
  <si>
    <t>Image, text and object weight are used effectively</t>
  </si>
  <si>
    <t>No page uses different text, image and object weights</t>
  </si>
  <si>
    <t>Some pages uses different text, image and object weights</t>
  </si>
  <si>
    <t>Uses different font color and background color</t>
  </si>
  <si>
    <t>The website uses the same font color and background color</t>
  </si>
  <si>
    <t>The website uses similar font color and background color (like red and yellow and orange)</t>
  </si>
  <si>
    <t>The website uses different font color and background color (with significant contrast to avoid combination of similar colors)</t>
  </si>
  <si>
    <t>Display of simetry and assimetry to make a more attractive page</t>
  </si>
  <si>
    <t>Pages don't make use of simetry or assimetry factors</t>
  </si>
  <si>
    <t>Some pages utilizes simetry or assimetry</t>
  </si>
  <si>
    <t>Use of high-quality, visually appealing design elements</t>
  </si>
  <si>
    <t>Low-quality and visually unappealing design elements</t>
  </si>
  <si>
    <t>Use of high-quality, visually appealing design elements on some pages</t>
  </si>
  <si>
    <t>Use of the Rule of Thirds is consistent and effective</t>
  </si>
  <si>
    <t>There's no use of the rule of the thirds</t>
  </si>
  <si>
    <t>The rule of the thirds is present on some pages</t>
  </si>
  <si>
    <t xml:space="preserve">Use graphic design to achieve a pleasant result </t>
  </si>
  <si>
    <t xml:space="preserve">None of the graphic design structure is applied </t>
  </si>
  <si>
    <t>Half of the topics of graphic design were used (4)</t>
  </si>
  <si>
    <t>All the topics of graphic design were used and effectively applied</t>
  </si>
  <si>
    <t>Proper selection of text size, color, and font type for readability and alignment with design principles</t>
  </si>
  <si>
    <t>Text size, color, and font type choices are inappropriate, hindering readability</t>
  </si>
  <si>
    <t>Consistent and appropriate choices of text size, colour and font on some pages</t>
  </si>
  <si>
    <t>Serif (more formal and classic) or sans serif (more modern and clean)</t>
  </si>
  <si>
    <t>Does not have text</t>
  </si>
  <si>
    <t>Line spacing and length are inappropriate, causing difficulty in reading</t>
  </si>
  <si>
    <t>Consistent and appropriate line spacing and length on some pages</t>
  </si>
  <si>
    <t>Proper organisation of paragraphs and headings for clarity and logical flow on some pages</t>
  </si>
  <si>
    <t>Poor organisation of paragraphs and headings on all pages</t>
  </si>
  <si>
    <t>Consistent and well-structured paragraphs and headings on some pages</t>
  </si>
  <si>
    <t>Intuitive layout effectively emphasising crucial content</t>
  </si>
  <si>
    <t>Lack of intuitive placement and emphasis on all pages</t>
  </si>
  <si>
    <t>Intuitive placement and effective emphasis on important content throughout on some pages</t>
  </si>
  <si>
    <t>Appropriate categorisation and labelling to facilitate understanding</t>
  </si>
  <si>
    <t>Improper categorization and labeling</t>
  </si>
  <si>
    <t>Proper categorization and clear labeling of content on some pages</t>
  </si>
  <si>
    <t>The web platform allows students to navigate the content without problems</t>
  </si>
  <si>
    <t>Content navigation is difficult and not easy for the user</t>
  </si>
  <si>
    <t>On at least one page, content navigation is difficult for the user</t>
  </si>
  <si>
    <t xml:space="preserve"> Effortless and easy-to-use content browsing experience</t>
  </si>
  <si>
    <t xml:space="preserve"> The web platform's menu items are grouped logically for clarity</t>
  </si>
  <si>
    <t>Menu items are not logically grouped on any of the pages, causing confusion</t>
  </si>
  <si>
    <t>Menu items are clear and logically grouped in one page</t>
  </si>
  <si>
    <t>Menu items are clear and logically grouped in all pages</t>
  </si>
  <si>
    <t>Navigation on the web platform is easy to use and responsive on various devices</t>
  </si>
  <si>
    <t>Navigation is not user-friendly and does not adapt to different devices.</t>
  </si>
  <si>
    <t>Navigation in one page is highly user-friendly and adapts to all devices.</t>
  </si>
  <si>
    <t>Navigation in all pages is highly user-friendly and adapts to all devices.</t>
  </si>
  <si>
    <t>The content and screens follow an intuitive structure on all pages</t>
  </si>
  <si>
    <t>Important content is poorly positioned and difficult to find</t>
  </si>
  <si>
    <t>Important content is intuitively positioned in one page</t>
  </si>
  <si>
    <t>Important content is intuitively positioned in all pages</t>
  </si>
  <si>
    <t>The web platform effectively captures and maintains students' attention and engagement</t>
  </si>
  <si>
    <t>Cannot capture or maintain students' attention and engagement</t>
  </si>
  <si>
    <t>Captures and maintains students' attention on just one page</t>
  </si>
  <si>
    <t>Successfully captures and maintains students' attention and engagement throughout the process</t>
  </si>
  <si>
    <t>The web platform was optimized so that a large number of users does not affect performance</t>
  </si>
  <si>
    <t>The web platform has poor performance constantly, even with only 1 user</t>
  </si>
  <si>
    <t>The web platform is capable of handling up to 3 users without losing performance</t>
  </si>
  <si>
    <t>The web platform handles a large quantity of users without losing performance</t>
  </si>
  <si>
    <t>The web platform was made scalable, so it is possible to add new lessons to the MOOC and other content such as events dynamically</t>
  </si>
  <si>
    <t>All content was hard-coded, and so adding new content needs new pages</t>
  </si>
  <si>
    <t>Either the MOOC or the events was hard-coded, but the other is dynamic from data in the database</t>
  </si>
  <si>
    <t>Both the MOOC content and the events page is dynamic</t>
  </si>
  <si>
    <t>KaZgeh_mDEOcYyZmU7K4mS4HfvV4hEVGifdPy62G16hUQkdKUzI0RjhGMTE5TU0yNzlaVlBQVTBGNSQlQCN0PWcu</t>
  </si>
  <si>
    <t>Form1</t>
  </si>
  <si>
    <t>{ee18d7d6-562b-465e-8a22-de789b1fce2f}</t>
  </si>
  <si>
    <t>The website does have Keyboard Navigation (arrow keys min.)</t>
  </si>
  <si>
    <t>Uses Serif or Sans Serif</t>
  </si>
  <si>
    <t>Uses Serif and Sans Serif (confusion, 2 or more different fonts)</t>
  </si>
  <si>
    <t>Organize elements according to their relevance (use: size, position, color, typography)</t>
  </si>
  <si>
    <t>Does not organize, does not respect size, position, color, typography</t>
  </si>
  <si>
    <t>Organize and respect all criteria</t>
  </si>
  <si>
    <t>Organize, but respect only 2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</si>
</sst>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Symbol"/>
      <family val="1"/>
      <charset val="2"/>
    </font>
    <font>
      <sz val="8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242424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BEDD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2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0" borderId="1" xfId="0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8" borderId="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13" borderId="1" xfId="0" applyFill="1" applyBorder="1"/>
    <xf numFmtId="0" fontId="0" fillId="11" borderId="2" xfId="0" applyFill="1" applyBorder="1" applyAlignment="1">
      <alignment horizontal="center" vertical="center"/>
    </xf>
    <xf numFmtId="0" fontId="6" fillId="0" borderId="0" xfId="0" applyFont="1"/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left" vertical="center"/>
    </xf>
    <xf numFmtId="0" fontId="7" fillId="0" borderId="0" xfId="0" applyFont="1"/>
    <xf numFmtId="0" fontId="0" fillId="7" borderId="1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6" borderId="2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26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Medium9"/>
  <colors>
    <mruColors>
      <color rgb="FFA4BEDD"/>
      <color rgb="FFABC5E4"/>
      <color rgb="FFAEC7E4"/>
      <color rgb="FF8BA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9C7-A679-1E4B-A280-8C6FEC77FC8B}">
  <dimension ref="A1:L40"/>
  <sheetViews>
    <sheetView tabSelected="1" topLeftCell="A6" zoomScale="85" zoomScaleNormal="85" workbookViewId="0">
      <selection activeCell="G7" sqref="G7:G14"/>
    </sheetView>
  </sheetViews>
  <sheetFormatPr baseColWidth="10" defaultColWidth="8.6640625" defaultRowHeight="15" x14ac:dyDescent="0.2"/>
  <cols>
    <col min="4" max="4" width="15" customWidth="1"/>
    <col min="5" max="5" width="8.6640625" bestFit="1" customWidth="1"/>
    <col min="6" max="6" width="13" customWidth="1"/>
    <col min="7" max="7" width="25" customWidth="1"/>
    <col min="8" max="8" width="12.6640625" customWidth="1"/>
    <col min="9" max="9" width="113.5" bestFit="1" customWidth="1"/>
    <col min="10" max="10" width="17.1640625" customWidth="1"/>
    <col min="11" max="11" width="8.6640625" bestFit="1" customWidth="1"/>
    <col min="12" max="12" width="38.1640625" customWidth="1"/>
  </cols>
  <sheetData>
    <row r="1" spans="1:12" ht="8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2">
      <c r="A2" s="99">
        <f>(LOG(1+C2/100)+LOG(1+C7/100)+LOG(1+C22/100))/(3*LOG(2))</f>
        <v>0.93438646824007343</v>
      </c>
      <c r="B2" s="102">
        <f>SQRT((1-C2/100)^2+(1-C7/100)^2+(1-C22/100)^2)</f>
        <v>0.15916228850781514</v>
      </c>
      <c r="C2" s="105">
        <f>SUMPRODUCT(E2:E6,F2:F6)</f>
        <v>88</v>
      </c>
      <c r="D2" s="105" t="s">
        <v>11</v>
      </c>
      <c r="E2" s="94">
        <f>(1/(SUM(H2:H4)))*SUMPRODUCT(H2:H4,J2:J4)</f>
        <v>100</v>
      </c>
      <c r="F2" s="94">
        <f>COUNT(H2:H4)/COUNT(H2:H6)</f>
        <v>0.6</v>
      </c>
      <c r="G2" s="94" t="s">
        <v>12</v>
      </c>
      <c r="H2" s="4">
        <v>10</v>
      </c>
      <c r="I2" s="4" t="s">
        <v>13</v>
      </c>
      <c r="J2" s="4">
        <v>100</v>
      </c>
    </row>
    <row r="3" spans="1:12" x14ac:dyDescent="0.2">
      <c r="A3" s="100"/>
      <c r="B3" s="103"/>
      <c r="C3" s="106"/>
      <c r="D3" s="106"/>
      <c r="E3" s="95"/>
      <c r="F3" s="95"/>
      <c r="G3" s="95"/>
      <c r="H3" s="4">
        <v>6</v>
      </c>
      <c r="I3" s="4" t="s">
        <v>14</v>
      </c>
      <c r="J3" s="4">
        <v>100</v>
      </c>
    </row>
    <row r="4" spans="1:12" x14ac:dyDescent="0.2">
      <c r="A4" s="100"/>
      <c r="B4" s="103"/>
      <c r="C4" s="106"/>
      <c r="D4" s="106"/>
      <c r="E4" s="96"/>
      <c r="F4" s="96"/>
      <c r="G4" s="96"/>
      <c r="H4" s="4">
        <v>4</v>
      </c>
      <c r="I4" s="4" t="s">
        <v>15</v>
      </c>
      <c r="J4" s="4">
        <v>100</v>
      </c>
    </row>
    <row r="5" spans="1:12" x14ac:dyDescent="0.2">
      <c r="A5" s="100"/>
      <c r="B5" s="103"/>
      <c r="C5" s="106"/>
      <c r="D5" s="106"/>
      <c r="E5" s="97">
        <f>(1/(SUM(H5:H6)))*SUMPRODUCT(H5:H6,J5:J6)</f>
        <v>70</v>
      </c>
      <c r="F5" s="97">
        <f>COUNT(H5:H6)/COUNT(H2:H6)</f>
        <v>0.4</v>
      </c>
      <c r="G5" s="97" t="s">
        <v>16</v>
      </c>
      <c r="H5" s="58">
        <v>6</v>
      </c>
      <c r="I5" s="58" t="s">
        <v>17</v>
      </c>
      <c r="J5" s="58">
        <v>50</v>
      </c>
      <c r="L5" t="s">
        <v>18</v>
      </c>
    </row>
    <row r="6" spans="1:12" x14ac:dyDescent="0.2">
      <c r="A6" s="100"/>
      <c r="B6" s="103"/>
      <c r="C6" s="106"/>
      <c r="D6" s="106"/>
      <c r="E6" s="98"/>
      <c r="F6" s="98"/>
      <c r="G6" s="98"/>
      <c r="H6" s="58">
        <v>4</v>
      </c>
      <c r="I6" s="58" t="s">
        <v>19</v>
      </c>
      <c r="J6" s="58">
        <v>100</v>
      </c>
      <c r="L6" t="s">
        <v>20</v>
      </c>
    </row>
    <row r="7" spans="1:12" x14ac:dyDescent="0.2">
      <c r="A7" s="100"/>
      <c r="B7" s="103"/>
      <c r="C7" s="82">
        <f>SUMPRODUCT(E7:E21,F7:F21)</f>
        <v>91.617647058823536</v>
      </c>
      <c r="D7" s="82" t="s">
        <v>21</v>
      </c>
      <c r="E7" s="77">
        <f>(1/(SUM(H7:H13)))*SUMPRODUCT(H7:H13,J7:J13)</f>
        <v>96.32352941176471</v>
      </c>
      <c r="F7" s="77">
        <f>COUNT(H7:H13)/COUNT(H7:H21)</f>
        <v>0.46666666666666667</v>
      </c>
      <c r="G7" s="77" t="s">
        <v>22</v>
      </c>
      <c r="H7" s="7">
        <v>8</v>
      </c>
      <c r="I7" s="7" t="s">
        <v>23</v>
      </c>
      <c r="J7" s="7">
        <v>100</v>
      </c>
      <c r="L7" t="s">
        <v>24</v>
      </c>
    </row>
    <row r="8" spans="1:12" x14ac:dyDescent="0.2">
      <c r="A8" s="100"/>
      <c r="B8" s="103"/>
      <c r="C8" s="83"/>
      <c r="D8" s="83"/>
      <c r="E8" s="78"/>
      <c r="F8" s="78"/>
      <c r="G8" s="78"/>
      <c r="H8" s="7">
        <v>10</v>
      </c>
      <c r="I8" s="7" t="s">
        <v>25</v>
      </c>
      <c r="J8" s="7">
        <v>100</v>
      </c>
      <c r="L8" t="s">
        <v>26</v>
      </c>
    </row>
    <row r="9" spans="1:12" x14ac:dyDescent="0.2">
      <c r="A9" s="100"/>
      <c r="B9" s="103"/>
      <c r="C9" s="83"/>
      <c r="D9" s="83"/>
      <c r="E9" s="78"/>
      <c r="F9" s="78"/>
      <c r="G9" s="78"/>
      <c r="H9" s="7">
        <v>10</v>
      </c>
      <c r="I9" s="7" t="s">
        <v>27</v>
      </c>
      <c r="J9" s="7">
        <v>100</v>
      </c>
      <c r="L9" t="s">
        <v>28</v>
      </c>
    </row>
    <row r="10" spans="1:12" x14ac:dyDescent="0.2">
      <c r="A10" s="100"/>
      <c r="B10" s="103"/>
      <c r="C10" s="83"/>
      <c r="D10" s="83"/>
      <c r="E10" s="78"/>
      <c r="F10" s="78"/>
      <c r="G10" s="78"/>
      <c r="H10" s="7">
        <v>10</v>
      </c>
      <c r="I10" s="7" t="s">
        <v>29</v>
      </c>
      <c r="J10" s="7">
        <v>100</v>
      </c>
    </row>
    <row r="11" spans="1:12" x14ac:dyDescent="0.2">
      <c r="A11" s="100"/>
      <c r="B11" s="103"/>
      <c r="C11" s="83"/>
      <c r="D11" s="83"/>
      <c r="E11" s="78"/>
      <c r="F11" s="78"/>
      <c r="G11" s="78"/>
      <c r="H11" s="7">
        <v>10</v>
      </c>
      <c r="I11" s="7" t="s">
        <v>30</v>
      </c>
      <c r="J11" s="7">
        <v>100</v>
      </c>
    </row>
    <row r="12" spans="1:12" x14ac:dyDescent="0.2">
      <c r="A12" s="100"/>
      <c r="B12" s="103"/>
      <c r="C12" s="83"/>
      <c r="D12" s="83"/>
      <c r="E12" s="78"/>
      <c r="F12" s="78"/>
      <c r="G12" s="78"/>
      <c r="H12" s="7">
        <v>10</v>
      </c>
      <c r="I12" s="7" t="s">
        <v>31</v>
      </c>
      <c r="J12" s="7">
        <v>100</v>
      </c>
    </row>
    <row r="13" spans="1:12" x14ac:dyDescent="0.2">
      <c r="A13" s="100"/>
      <c r="B13" s="103"/>
      <c r="C13" s="83"/>
      <c r="D13" s="83"/>
      <c r="E13" s="78"/>
      <c r="F13" s="78"/>
      <c r="G13" s="78"/>
      <c r="H13" s="7">
        <v>10</v>
      </c>
      <c r="I13" s="7" t="s">
        <v>32</v>
      </c>
      <c r="J13" s="7">
        <v>75</v>
      </c>
      <c r="L13" t="s">
        <v>33</v>
      </c>
    </row>
    <row r="14" spans="1:12" x14ac:dyDescent="0.2">
      <c r="A14" s="100"/>
      <c r="B14" s="103"/>
      <c r="C14" s="83"/>
      <c r="D14" s="83"/>
      <c r="E14" s="79"/>
      <c r="F14" s="79"/>
      <c r="G14" s="79"/>
      <c r="H14" s="7">
        <v>10</v>
      </c>
      <c r="I14" s="7" t="s">
        <v>34</v>
      </c>
      <c r="J14" s="7">
        <v>100</v>
      </c>
    </row>
    <row r="15" spans="1:12" x14ac:dyDescent="0.2">
      <c r="A15" s="100"/>
      <c r="B15" s="103"/>
      <c r="C15" s="83"/>
      <c r="D15" s="83"/>
      <c r="E15" s="80">
        <f>(1/(SUM(H15:H18)))*SUMPRODUCT(H15:H18,J15:J18)</f>
        <v>100</v>
      </c>
      <c r="F15" s="80">
        <f>COUNT(H15:H18)/COUNT(H7:H21)</f>
        <v>0.26666666666666666</v>
      </c>
      <c r="G15" s="80" t="s">
        <v>35</v>
      </c>
      <c r="H15" s="8">
        <v>10</v>
      </c>
      <c r="I15" s="8" t="s">
        <v>36</v>
      </c>
      <c r="J15" s="8">
        <v>100</v>
      </c>
      <c r="L15" t="s">
        <v>37</v>
      </c>
    </row>
    <row r="16" spans="1:12" x14ac:dyDescent="0.2">
      <c r="A16" s="100"/>
      <c r="B16" s="103"/>
      <c r="C16" s="83"/>
      <c r="D16" s="83"/>
      <c r="E16" s="81"/>
      <c r="F16" s="81"/>
      <c r="G16" s="81"/>
      <c r="H16" s="8">
        <v>10</v>
      </c>
      <c r="I16" s="8" t="s">
        <v>38</v>
      </c>
      <c r="J16" s="8">
        <v>100</v>
      </c>
    </row>
    <row r="17" spans="1:12" x14ac:dyDescent="0.2">
      <c r="A17" s="100"/>
      <c r="B17" s="103"/>
      <c r="C17" s="83"/>
      <c r="D17" s="83"/>
      <c r="E17" s="81"/>
      <c r="F17" s="81"/>
      <c r="G17" s="81"/>
      <c r="H17" s="8">
        <v>8</v>
      </c>
      <c r="I17" s="8" t="s">
        <v>39</v>
      </c>
      <c r="J17" s="8">
        <v>100</v>
      </c>
      <c r="L17" t="s">
        <v>40</v>
      </c>
    </row>
    <row r="18" spans="1:12" x14ac:dyDescent="0.2">
      <c r="A18" s="100"/>
      <c r="B18" s="103"/>
      <c r="C18" s="83"/>
      <c r="D18" s="83"/>
      <c r="E18" s="81"/>
      <c r="F18" s="81"/>
      <c r="G18" s="81"/>
      <c r="H18" s="8">
        <v>8</v>
      </c>
      <c r="I18" s="8" t="s">
        <v>41</v>
      </c>
      <c r="J18" s="8">
        <v>100</v>
      </c>
    </row>
    <row r="19" spans="1:12" x14ac:dyDescent="0.2">
      <c r="A19" s="100"/>
      <c r="B19" s="103"/>
      <c r="C19" s="83"/>
      <c r="D19" s="83"/>
      <c r="E19" s="82">
        <f>(1/(SUM(H19:H21)))*SUMPRODUCT(H19:H21,J19:J21)</f>
        <v>100</v>
      </c>
      <c r="F19" s="82">
        <f>COUNT(H19:H21)/COUNT(H7:H21)</f>
        <v>0.2</v>
      </c>
      <c r="G19" s="82" t="s">
        <v>42</v>
      </c>
      <c r="H19" s="9">
        <v>10</v>
      </c>
      <c r="I19" s="9" t="s">
        <v>43</v>
      </c>
      <c r="J19" s="9">
        <v>100</v>
      </c>
    </row>
    <row r="20" spans="1:12" x14ac:dyDescent="0.2">
      <c r="A20" s="100"/>
      <c r="B20" s="103"/>
      <c r="C20" s="83"/>
      <c r="D20" s="83"/>
      <c r="E20" s="83"/>
      <c r="F20" s="83"/>
      <c r="G20" s="83"/>
      <c r="H20" s="9">
        <v>10</v>
      </c>
      <c r="I20" s="9" t="s">
        <v>44</v>
      </c>
      <c r="J20" s="9">
        <v>100</v>
      </c>
    </row>
    <row r="21" spans="1:12" x14ac:dyDescent="0.2">
      <c r="A21" s="100"/>
      <c r="B21" s="103"/>
      <c r="C21" s="83"/>
      <c r="D21" s="83"/>
      <c r="E21" s="84"/>
      <c r="F21" s="84"/>
      <c r="G21" s="84"/>
      <c r="H21" s="9">
        <v>8</v>
      </c>
      <c r="I21" s="9" t="s">
        <v>45</v>
      </c>
      <c r="J21" s="9">
        <v>100</v>
      </c>
    </row>
    <row r="22" spans="1:12" x14ac:dyDescent="0.2">
      <c r="A22" s="100"/>
      <c r="B22" s="103"/>
      <c r="C22" s="85">
        <f>SUMPRODUCT(E22:E28,F22:F28)</f>
        <v>93.749999999999986</v>
      </c>
      <c r="D22" s="88" t="s">
        <v>46</v>
      </c>
      <c r="E22" s="91">
        <f>(1/(SUM(H22:H25)))*SUMPRODUCT(H22:H25,J22:J25)</f>
        <v>95.3125</v>
      </c>
      <c r="F22" s="91">
        <f>COUNT(H22:H25)/COUNT(H22:H28)</f>
        <v>0.5714285714285714</v>
      </c>
      <c r="G22" s="91" t="s">
        <v>47</v>
      </c>
      <c r="H22" s="10">
        <v>10</v>
      </c>
      <c r="I22" s="10" t="s">
        <v>48</v>
      </c>
      <c r="J22" s="10">
        <v>100</v>
      </c>
    </row>
    <row r="23" spans="1:12" x14ac:dyDescent="0.2">
      <c r="A23" s="100"/>
      <c r="B23" s="103"/>
      <c r="C23" s="87"/>
      <c r="D23" s="89"/>
      <c r="E23" s="92"/>
      <c r="F23" s="92"/>
      <c r="G23" s="92"/>
      <c r="H23" s="10">
        <v>8</v>
      </c>
      <c r="I23" s="10" t="s">
        <v>49</v>
      </c>
      <c r="J23" s="10">
        <v>100</v>
      </c>
      <c r="L23" t="s">
        <v>50</v>
      </c>
    </row>
    <row r="24" spans="1:12" x14ac:dyDescent="0.2">
      <c r="A24" s="100"/>
      <c r="B24" s="103"/>
      <c r="C24" s="87"/>
      <c r="D24" s="89"/>
      <c r="E24" s="92"/>
      <c r="F24" s="92"/>
      <c r="G24" s="92"/>
      <c r="H24" s="10">
        <v>6</v>
      </c>
      <c r="I24" s="10" t="s">
        <v>51</v>
      </c>
      <c r="J24" s="10">
        <v>75</v>
      </c>
      <c r="L24" t="s">
        <v>52</v>
      </c>
    </row>
    <row r="25" spans="1:12" x14ac:dyDescent="0.2">
      <c r="A25" s="100"/>
      <c r="B25" s="103"/>
      <c r="C25" s="87"/>
      <c r="D25" s="89"/>
      <c r="E25" s="93"/>
      <c r="F25" s="93"/>
      <c r="G25" s="93"/>
      <c r="H25" s="10">
        <v>8</v>
      </c>
      <c r="I25" s="10" t="s">
        <v>53</v>
      </c>
      <c r="J25" s="10">
        <v>100</v>
      </c>
    </row>
    <row r="26" spans="1:12" x14ac:dyDescent="0.2">
      <c r="A26" s="100"/>
      <c r="B26" s="103"/>
      <c r="C26" s="87"/>
      <c r="D26" s="89"/>
      <c r="E26" s="59">
        <f>(1/(SUM(H26:H26)))*SUMPRODUCT(H26:H26,J26:J26)</f>
        <v>75</v>
      </c>
      <c r="F26" s="59">
        <f>COUNT(H26:H26)/COUNT(H22:H28)</f>
        <v>0.14285714285714285</v>
      </c>
      <c r="G26" s="59" t="s">
        <v>54</v>
      </c>
      <c r="H26" s="11">
        <v>10</v>
      </c>
      <c r="I26" s="11" t="s">
        <v>55</v>
      </c>
      <c r="J26" s="11">
        <v>75</v>
      </c>
    </row>
    <row r="27" spans="1:12" x14ac:dyDescent="0.2">
      <c r="A27" s="100"/>
      <c r="B27" s="103"/>
      <c r="C27" s="87"/>
      <c r="D27" s="89"/>
      <c r="E27" s="85">
        <f>(1/(SUM(H27:H28)))*SUMPRODUCT(H27:H28,J27:J28)</f>
        <v>100</v>
      </c>
      <c r="F27" s="85">
        <f>COUNT(H27:H28)/COUNT(H22:H28)</f>
        <v>0.2857142857142857</v>
      </c>
      <c r="G27" s="85" t="s">
        <v>56</v>
      </c>
      <c r="H27" s="12">
        <v>8</v>
      </c>
      <c r="I27" s="12" t="s">
        <v>57</v>
      </c>
      <c r="J27" s="12">
        <v>100</v>
      </c>
    </row>
    <row r="28" spans="1:12" x14ac:dyDescent="0.2">
      <c r="A28" s="101"/>
      <c r="B28" s="104"/>
      <c r="C28" s="86"/>
      <c r="D28" s="90"/>
      <c r="E28" s="86"/>
      <c r="F28" s="86"/>
      <c r="G28" s="86"/>
      <c r="H28" s="12">
        <v>8</v>
      </c>
      <c r="I28" s="12" t="s">
        <v>58</v>
      </c>
      <c r="J28" s="12">
        <v>100</v>
      </c>
    </row>
    <row r="31" spans="1:12" x14ac:dyDescent="0.2">
      <c r="B31" s="60" t="s">
        <v>59</v>
      </c>
    </row>
    <row r="32" spans="1:12" x14ac:dyDescent="0.2">
      <c r="B32" s="60" t="s">
        <v>60</v>
      </c>
      <c r="I32" s="45"/>
    </row>
    <row r="33" spans="2:9" x14ac:dyDescent="0.2">
      <c r="B33" s="60" t="s">
        <v>61</v>
      </c>
      <c r="I33" s="45"/>
    </row>
    <row r="34" spans="2:9" x14ac:dyDescent="0.2">
      <c r="B34" s="60" t="s">
        <v>62</v>
      </c>
      <c r="I34" s="45"/>
    </row>
    <row r="35" spans="2:9" x14ac:dyDescent="0.2">
      <c r="B35" s="60" t="s">
        <v>63</v>
      </c>
      <c r="I35" s="45"/>
    </row>
    <row r="36" spans="2:9" x14ac:dyDescent="0.2">
      <c r="B36" s="60" t="s">
        <v>64</v>
      </c>
      <c r="I36" s="45"/>
    </row>
    <row r="37" spans="2:9" x14ac:dyDescent="0.2">
      <c r="B37" s="60" t="s">
        <v>65</v>
      </c>
      <c r="I37" s="45"/>
    </row>
    <row r="38" spans="2:9" x14ac:dyDescent="0.2">
      <c r="B38" s="60" t="s">
        <v>66</v>
      </c>
    </row>
    <row r="39" spans="2:9" x14ac:dyDescent="0.2">
      <c r="B39" s="60" t="s">
        <v>67</v>
      </c>
      <c r="I39" s="46"/>
    </row>
    <row r="40" spans="2:9" x14ac:dyDescent="0.2">
      <c r="B40" s="60" t="s">
        <v>68</v>
      </c>
      <c r="I40" s="45"/>
    </row>
  </sheetData>
  <mergeCells count="29">
    <mergeCell ref="A2:A28"/>
    <mergeCell ref="B2:B28"/>
    <mergeCell ref="C2:C6"/>
    <mergeCell ref="D2:D6"/>
    <mergeCell ref="E2:E4"/>
    <mergeCell ref="C7:C21"/>
    <mergeCell ref="D7:D21"/>
    <mergeCell ref="E7:E14"/>
    <mergeCell ref="G2:G4"/>
    <mergeCell ref="E5:E6"/>
    <mergeCell ref="F5:F6"/>
    <mergeCell ref="G5:G6"/>
    <mergeCell ref="F2:F4"/>
    <mergeCell ref="G27:G28"/>
    <mergeCell ref="C22:C28"/>
    <mergeCell ref="D22:D28"/>
    <mergeCell ref="E22:E25"/>
    <mergeCell ref="F22:F25"/>
    <mergeCell ref="G22:G25"/>
    <mergeCell ref="E27:E28"/>
    <mergeCell ref="F27:F28"/>
    <mergeCell ref="F7:F14"/>
    <mergeCell ref="G7:G14"/>
    <mergeCell ref="F15:F18"/>
    <mergeCell ref="E15:E18"/>
    <mergeCell ref="E19:E21"/>
    <mergeCell ref="F19:F21"/>
    <mergeCell ref="G15:G18"/>
    <mergeCell ref="G19:G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L30"/>
  <sheetViews>
    <sheetView zoomScale="94" workbookViewId="0">
      <selection activeCell="F6" sqref="F6:F7"/>
    </sheetView>
  </sheetViews>
  <sheetFormatPr baseColWidth="10" defaultColWidth="8.6640625" defaultRowHeight="15" x14ac:dyDescent="0.2"/>
  <cols>
    <col min="4" max="4" width="15" customWidth="1"/>
    <col min="6" max="6" width="13" customWidth="1"/>
    <col min="7" max="7" width="25" customWidth="1"/>
    <col min="8" max="8" width="12.6640625" customWidth="1"/>
    <col min="9" max="9" width="65.6640625" customWidth="1"/>
    <col min="10" max="10" width="17.1640625" customWidth="1"/>
    <col min="12" max="12" width="38.1640625" customWidth="1"/>
  </cols>
  <sheetData>
    <row r="1" spans="1:12" ht="8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2">
      <c r="A2" s="99">
        <f>(LOG(1+C2/100)+LOG(1+C11/100)+LOG(1+C20/100))/(3*LOG(2))</f>
        <v>0.84419800923699073</v>
      </c>
      <c r="B2" s="107">
        <f>SQRT((1-C2/100)^2+(1-C11/100)^2+(1-C20/100)^2)</f>
        <v>0.43459715775847046</v>
      </c>
      <c r="C2" s="105">
        <f>SUMPRODUCT(E2:E10,F2:F10)</f>
        <v>99.999999999999986</v>
      </c>
      <c r="D2" s="105" t="s">
        <v>69</v>
      </c>
      <c r="E2" s="117">
        <f>(1/(SUM(H2:H5)))*SUMPRODUCT(H2:H5,J2:J5)</f>
        <v>100</v>
      </c>
      <c r="F2" s="117">
        <f>COUNT(H2:H5)/COUNT(H2:H10)</f>
        <v>0.44444444444444442</v>
      </c>
      <c r="G2" s="117" t="s">
        <v>70</v>
      </c>
      <c r="H2" s="4">
        <v>10</v>
      </c>
      <c r="I2" s="4" t="s">
        <v>71</v>
      </c>
      <c r="J2" s="4">
        <v>100</v>
      </c>
    </row>
    <row r="3" spans="1:12" x14ac:dyDescent="0.2">
      <c r="A3" s="100"/>
      <c r="B3" s="108"/>
      <c r="C3" s="106"/>
      <c r="D3" s="106"/>
      <c r="E3" s="117"/>
      <c r="F3" s="117"/>
      <c r="G3" s="117"/>
      <c r="H3" s="4">
        <v>10</v>
      </c>
      <c r="I3" s="4" t="s">
        <v>72</v>
      </c>
      <c r="J3" s="4">
        <v>100</v>
      </c>
    </row>
    <row r="4" spans="1:12" x14ac:dyDescent="0.2">
      <c r="A4" s="100"/>
      <c r="B4" s="108"/>
      <c r="C4" s="106"/>
      <c r="D4" s="106"/>
      <c r="E4" s="117"/>
      <c r="F4" s="117"/>
      <c r="G4" s="117"/>
      <c r="H4" s="4">
        <v>10</v>
      </c>
      <c r="I4" s="4" t="s">
        <v>73</v>
      </c>
      <c r="J4" s="4">
        <v>100</v>
      </c>
    </row>
    <row r="5" spans="1:12" x14ac:dyDescent="0.2">
      <c r="A5" s="100"/>
      <c r="B5" s="108"/>
      <c r="C5" s="106"/>
      <c r="D5" s="106"/>
      <c r="E5" s="117"/>
      <c r="F5" s="117"/>
      <c r="G5" s="117"/>
      <c r="H5" s="4">
        <v>10</v>
      </c>
      <c r="I5" s="4" t="s">
        <v>74</v>
      </c>
      <c r="J5" s="4">
        <v>100</v>
      </c>
    </row>
    <row r="6" spans="1:12" x14ac:dyDescent="0.2">
      <c r="A6" s="100"/>
      <c r="B6" s="108"/>
      <c r="C6" s="106"/>
      <c r="D6" s="106"/>
      <c r="E6" s="115">
        <f>(1/(SUM(H6:H7)))*SUMPRODUCT(H6:H7,J6:J7)</f>
        <v>100</v>
      </c>
      <c r="F6" s="115">
        <f>COUNT(H6:H7)/COUNT(H2:H10)</f>
        <v>0.22222222222222221</v>
      </c>
      <c r="G6" s="115" t="s">
        <v>75</v>
      </c>
      <c r="H6" s="5">
        <v>4</v>
      </c>
      <c r="I6" s="5" t="s">
        <v>76</v>
      </c>
      <c r="J6" s="5">
        <v>100</v>
      </c>
    </row>
    <row r="7" spans="1:12" x14ac:dyDescent="0.2">
      <c r="A7" s="100"/>
      <c r="B7" s="108"/>
      <c r="C7" s="106"/>
      <c r="D7" s="106"/>
      <c r="E7" s="115"/>
      <c r="F7" s="115"/>
      <c r="G7" s="115"/>
      <c r="H7" s="5">
        <v>6</v>
      </c>
      <c r="I7" s="5" t="s">
        <v>77</v>
      </c>
      <c r="J7" s="5">
        <v>100</v>
      </c>
    </row>
    <row r="8" spans="1:12" x14ac:dyDescent="0.2">
      <c r="A8" s="100"/>
      <c r="B8" s="108"/>
      <c r="C8" s="106"/>
      <c r="D8" s="106"/>
      <c r="E8" s="116">
        <f>(1/(SUM(H8:H10)))*SUMPRODUCT(H8:H10,J8:J10)</f>
        <v>100</v>
      </c>
      <c r="F8" s="116">
        <f>COUNT(H8:H10)/COUNT(H2:H10)</f>
        <v>0.33333333333333331</v>
      </c>
      <c r="G8" s="116" t="s">
        <v>78</v>
      </c>
      <c r="H8" s="6">
        <v>6</v>
      </c>
      <c r="I8" s="6" t="s">
        <v>79</v>
      </c>
      <c r="J8" s="6">
        <v>100</v>
      </c>
    </row>
    <row r="9" spans="1:12" x14ac:dyDescent="0.2">
      <c r="A9" s="100"/>
      <c r="B9" s="108"/>
      <c r="C9" s="106"/>
      <c r="D9" s="106"/>
      <c r="E9" s="116"/>
      <c r="F9" s="116"/>
      <c r="G9" s="116"/>
      <c r="H9" s="6">
        <v>6</v>
      </c>
      <c r="I9" s="6" t="s">
        <v>80</v>
      </c>
      <c r="J9" s="6">
        <v>100</v>
      </c>
    </row>
    <row r="10" spans="1:12" x14ac:dyDescent="0.2">
      <c r="A10" s="100"/>
      <c r="B10" s="108"/>
      <c r="C10" s="113"/>
      <c r="D10" s="113"/>
      <c r="E10" s="116"/>
      <c r="F10" s="116"/>
      <c r="G10" s="116"/>
      <c r="H10" s="6">
        <v>4</v>
      </c>
      <c r="I10" s="6" t="s">
        <v>81</v>
      </c>
      <c r="J10" s="6">
        <v>100</v>
      </c>
    </row>
    <row r="11" spans="1:12" x14ac:dyDescent="0.2">
      <c r="A11" s="100"/>
      <c r="B11" s="108"/>
      <c r="C11" s="82">
        <f>SUMPRODUCT(E11:E19,F11:F19)</f>
        <v>78.03418803418802</v>
      </c>
      <c r="D11" s="82" t="s">
        <v>21</v>
      </c>
      <c r="E11" s="114">
        <f>(1/(SUM(H11:H14)))*SUMPRODUCT(H11:H14,J11:J14)</f>
        <v>75</v>
      </c>
      <c r="F11" s="114">
        <f>COUNT(H11:H14)/COUNT(H11:H19)</f>
        <v>0.44444444444444442</v>
      </c>
      <c r="G11" s="114" t="s">
        <v>82</v>
      </c>
      <c r="H11" s="7">
        <v>10</v>
      </c>
      <c r="I11" s="7" t="s">
        <v>83</v>
      </c>
      <c r="J11" s="7">
        <v>100</v>
      </c>
    </row>
    <row r="12" spans="1:12" x14ac:dyDescent="0.2">
      <c r="A12" s="100"/>
      <c r="B12" s="108"/>
      <c r="C12" s="83"/>
      <c r="D12" s="83"/>
      <c r="E12" s="114"/>
      <c r="F12" s="114"/>
      <c r="G12" s="114"/>
      <c r="H12" s="7">
        <v>10</v>
      </c>
      <c r="I12" s="7" t="s">
        <v>84</v>
      </c>
      <c r="J12" s="7">
        <v>100</v>
      </c>
    </row>
    <row r="13" spans="1:12" x14ac:dyDescent="0.2">
      <c r="A13" s="100"/>
      <c r="B13" s="108"/>
      <c r="C13" s="83"/>
      <c r="D13" s="83"/>
      <c r="E13" s="114"/>
      <c r="F13" s="114"/>
      <c r="G13" s="114"/>
      <c r="H13" s="7">
        <v>10</v>
      </c>
      <c r="I13" s="7" t="s">
        <v>85</v>
      </c>
      <c r="J13" s="7">
        <v>50</v>
      </c>
      <c r="L13" t="s">
        <v>86</v>
      </c>
    </row>
    <row r="14" spans="1:12" x14ac:dyDescent="0.2">
      <c r="A14" s="100"/>
      <c r="B14" s="108"/>
      <c r="C14" s="83"/>
      <c r="D14" s="83"/>
      <c r="E14" s="114"/>
      <c r="F14" s="114"/>
      <c r="G14" s="114"/>
      <c r="H14" s="7">
        <v>10</v>
      </c>
      <c r="I14" s="7" t="s">
        <v>87</v>
      </c>
      <c r="J14" s="7">
        <v>50</v>
      </c>
      <c r="L14" t="s">
        <v>88</v>
      </c>
    </row>
    <row r="15" spans="1:12" x14ac:dyDescent="0.2">
      <c r="A15" s="100"/>
      <c r="B15" s="108"/>
      <c r="C15" s="83"/>
      <c r="D15" s="83"/>
      <c r="E15" s="111">
        <f>(1/(SUM(H15:H17)))*SUMPRODUCT(H15:H17,J15:J17)</f>
        <v>80.769230769230774</v>
      </c>
      <c r="F15" s="111">
        <f>COUNT(H15:H17)/COUNT(H11:H19)</f>
        <v>0.33333333333333331</v>
      </c>
      <c r="G15" s="111" t="s">
        <v>89</v>
      </c>
      <c r="H15" s="8">
        <v>8</v>
      </c>
      <c r="I15" s="8" t="s">
        <v>90</v>
      </c>
      <c r="J15" s="8">
        <v>100</v>
      </c>
    </row>
    <row r="16" spans="1:12" x14ac:dyDescent="0.2">
      <c r="A16" s="100"/>
      <c r="B16" s="108"/>
      <c r="C16" s="83"/>
      <c r="D16" s="83"/>
      <c r="E16" s="111"/>
      <c r="F16" s="111"/>
      <c r="G16" s="111"/>
      <c r="H16" s="8">
        <v>8</v>
      </c>
      <c r="I16" s="8" t="s">
        <v>91</v>
      </c>
      <c r="J16" s="8">
        <v>100</v>
      </c>
    </row>
    <row r="17" spans="1:12" x14ac:dyDescent="0.2">
      <c r="A17" s="100"/>
      <c r="B17" s="108"/>
      <c r="C17" s="83"/>
      <c r="D17" s="83"/>
      <c r="E17" s="111"/>
      <c r="F17" s="111"/>
      <c r="G17" s="111"/>
      <c r="H17" s="8">
        <v>10</v>
      </c>
      <c r="I17" s="8" t="s">
        <v>92</v>
      </c>
      <c r="J17" s="8">
        <v>50</v>
      </c>
      <c r="L17" t="s">
        <v>93</v>
      </c>
    </row>
    <row r="18" spans="1:12" x14ac:dyDescent="0.2">
      <c r="A18" s="100"/>
      <c r="B18" s="108"/>
      <c r="C18" s="83"/>
      <c r="D18" s="83"/>
      <c r="E18" s="112">
        <f>(1/(SUM(H18:H19)))*SUMPRODUCT(H18:H19,J18:J19)</f>
        <v>80</v>
      </c>
      <c r="F18" s="112">
        <f>COUNT(H18:H19)/COUNT(H11:H19)</f>
        <v>0.22222222222222221</v>
      </c>
      <c r="G18" s="112" t="s">
        <v>94</v>
      </c>
      <c r="H18" s="9">
        <v>6</v>
      </c>
      <c r="I18" s="9" t="s">
        <v>95</v>
      </c>
      <c r="J18" s="9">
        <v>100</v>
      </c>
    </row>
    <row r="19" spans="1:12" ht="16" thickBot="1" x14ac:dyDescent="0.25">
      <c r="A19" s="100"/>
      <c r="B19" s="108"/>
      <c r="C19" s="83"/>
      <c r="D19" s="84"/>
      <c r="E19" s="112"/>
      <c r="F19" s="112"/>
      <c r="G19" s="112"/>
      <c r="H19" s="9">
        <v>4</v>
      </c>
      <c r="I19" s="9" t="s">
        <v>96</v>
      </c>
      <c r="J19" s="9">
        <v>50</v>
      </c>
      <c r="L19" t="s">
        <v>97</v>
      </c>
    </row>
    <row r="20" spans="1:12" x14ac:dyDescent="0.2">
      <c r="A20" s="100"/>
      <c r="B20" s="103"/>
      <c r="C20" s="118">
        <f>SUMPRODUCT(E20:E25,F20:F25)</f>
        <v>62.5</v>
      </c>
      <c r="D20" s="88" t="s">
        <v>42</v>
      </c>
      <c r="E20" s="121">
        <f>(1/(SUM(H20:H21)))*SUMPRODUCT(H20:H21,J20:J21)</f>
        <v>75</v>
      </c>
      <c r="F20" s="122">
        <f>COUNT(H20:H21)/COUNT(H20:H25)</f>
        <v>0.33333333333333331</v>
      </c>
      <c r="G20" s="122" t="s">
        <v>98</v>
      </c>
      <c r="H20" s="10">
        <v>10</v>
      </c>
      <c r="I20" s="10" t="s">
        <v>99</v>
      </c>
      <c r="J20" s="10">
        <v>100</v>
      </c>
    </row>
    <row r="21" spans="1:12" x14ac:dyDescent="0.2">
      <c r="A21" s="100"/>
      <c r="B21" s="103"/>
      <c r="C21" s="119"/>
      <c r="D21" s="89"/>
      <c r="E21" s="121"/>
      <c r="F21" s="122"/>
      <c r="G21" s="122"/>
      <c r="H21" s="10">
        <v>10</v>
      </c>
      <c r="I21" s="10" t="s">
        <v>100</v>
      </c>
      <c r="J21" s="10">
        <v>50</v>
      </c>
      <c r="L21" t="s">
        <v>101</v>
      </c>
    </row>
    <row r="22" spans="1:12" x14ac:dyDescent="0.2">
      <c r="A22" s="100"/>
      <c r="B22" s="103"/>
      <c r="C22" s="119"/>
      <c r="D22" s="89"/>
      <c r="E22" s="123">
        <f>(1/(SUM(H22:H23)))*SUMPRODUCT(H22:H23,J22:J23)</f>
        <v>37.5</v>
      </c>
      <c r="F22" s="124">
        <f>COUNT(H22:H23)/COUNT(H20:H25)</f>
        <v>0.33333333333333331</v>
      </c>
      <c r="G22" s="124" t="s">
        <v>102</v>
      </c>
      <c r="H22" s="11">
        <v>6</v>
      </c>
      <c r="I22" s="11" t="s">
        <v>103</v>
      </c>
      <c r="J22" s="11">
        <v>50</v>
      </c>
      <c r="L22" t="s">
        <v>104</v>
      </c>
    </row>
    <row r="23" spans="1:12" x14ac:dyDescent="0.2">
      <c r="A23" s="100"/>
      <c r="B23" s="103"/>
      <c r="C23" s="119"/>
      <c r="D23" s="89"/>
      <c r="E23" s="123"/>
      <c r="F23" s="124"/>
      <c r="G23" s="124"/>
      <c r="H23" s="11">
        <v>2</v>
      </c>
      <c r="I23" s="11" t="s">
        <v>105</v>
      </c>
      <c r="J23" s="11">
        <v>0</v>
      </c>
      <c r="L23" t="s">
        <v>106</v>
      </c>
    </row>
    <row r="24" spans="1:12" x14ac:dyDescent="0.2">
      <c r="A24" s="100"/>
      <c r="B24" s="103"/>
      <c r="C24" s="119"/>
      <c r="D24" s="89"/>
      <c r="E24" s="125">
        <f>(1/(SUM(H24:H25)))*SUMPRODUCT(H24:H25,J24:J25)</f>
        <v>75</v>
      </c>
      <c r="F24" s="126">
        <f>COUNT(H24:H25)/COUNT(H20:H25)</f>
        <v>0.33333333333333331</v>
      </c>
      <c r="G24" s="126" t="s">
        <v>107</v>
      </c>
      <c r="H24" s="12">
        <v>6</v>
      </c>
      <c r="I24" s="12" t="s">
        <v>108</v>
      </c>
      <c r="J24" s="12">
        <v>50</v>
      </c>
      <c r="L24" t="s">
        <v>109</v>
      </c>
    </row>
    <row r="25" spans="1:12" ht="16" thickBot="1" x14ac:dyDescent="0.25">
      <c r="A25" s="110"/>
      <c r="B25" s="109"/>
      <c r="C25" s="120"/>
      <c r="D25" s="127"/>
      <c r="E25" s="125"/>
      <c r="F25" s="126"/>
      <c r="G25" s="126"/>
      <c r="H25" s="12">
        <v>6</v>
      </c>
      <c r="I25" s="12" t="s">
        <v>110</v>
      </c>
      <c r="J25" s="12">
        <v>100</v>
      </c>
    </row>
    <row r="28" spans="1:12" x14ac:dyDescent="0.2">
      <c r="D28" t="s">
        <v>111</v>
      </c>
    </row>
    <row r="29" spans="1:12" x14ac:dyDescent="0.2">
      <c r="D29" t="s">
        <v>112</v>
      </c>
    </row>
    <row r="30" spans="1:12" x14ac:dyDescent="0.2">
      <c r="D30" t="s">
        <v>113</v>
      </c>
    </row>
  </sheetData>
  <mergeCells count="35">
    <mergeCell ref="G20:G21"/>
    <mergeCell ref="G22:G23"/>
    <mergeCell ref="G24:G25"/>
    <mergeCell ref="F8:F10"/>
    <mergeCell ref="G18:G19"/>
    <mergeCell ref="G2:G5"/>
    <mergeCell ref="G6:G7"/>
    <mergeCell ref="G8:G10"/>
    <mergeCell ref="C20:C25"/>
    <mergeCell ref="E20:E21"/>
    <mergeCell ref="F2:F5"/>
    <mergeCell ref="E2:E5"/>
    <mergeCell ref="F20:F21"/>
    <mergeCell ref="E22:E23"/>
    <mergeCell ref="F22:F23"/>
    <mergeCell ref="E24:E25"/>
    <mergeCell ref="F6:F7"/>
    <mergeCell ref="F24:F25"/>
    <mergeCell ref="D20:D25"/>
    <mergeCell ref="G11:G14"/>
    <mergeCell ref="G15:G17"/>
    <mergeCell ref="B2:B25"/>
    <mergeCell ref="A2:A25"/>
    <mergeCell ref="E15:E17"/>
    <mergeCell ref="F15:F17"/>
    <mergeCell ref="E18:E19"/>
    <mergeCell ref="F18:F19"/>
    <mergeCell ref="D11:D19"/>
    <mergeCell ref="D2:D10"/>
    <mergeCell ref="F11:F14"/>
    <mergeCell ref="E11:E14"/>
    <mergeCell ref="C11:C19"/>
    <mergeCell ref="C2:C10"/>
    <mergeCell ref="E6:E7"/>
    <mergeCell ref="E8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14"/>
  <sheetViews>
    <sheetView topLeftCell="A4" zoomScale="85" zoomScaleNormal="85" workbookViewId="0">
      <selection activeCell="K14" sqref="K14"/>
    </sheetView>
  </sheetViews>
  <sheetFormatPr baseColWidth="10" defaultColWidth="8.6640625" defaultRowHeight="15" x14ac:dyDescent="0.2"/>
  <cols>
    <col min="1" max="2" width="35.6640625" customWidth="1"/>
    <col min="3" max="7" width="25.6640625" customWidth="1"/>
  </cols>
  <sheetData>
    <row r="1" spans="1:7" x14ac:dyDescent="0.2">
      <c r="A1" s="19" t="s">
        <v>3</v>
      </c>
      <c r="B1" s="13" t="s">
        <v>11</v>
      </c>
    </row>
    <row r="2" spans="1:7" x14ac:dyDescent="0.2">
      <c r="A2" s="19" t="s">
        <v>6</v>
      </c>
      <c r="B2" s="13" t="s">
        <v>12</v>
      </c>
    </row>
    <row r="4" spans="1:7" x14ac:dyDescent="0.2">
      <c r="C4" s="128" t="s">
        <v>114</v>
      </c>
      <c r="D4" s="128"/>
      <c r="E4" s="128"/>
      <c r="F4" s="128"/>
      <c r="G4" s="128"/>
    </row>
    <row r="5" spans="1:7" x14ac:dyDescent="0.2">
      <c r="A5" s="14" t="s">
        <v>8</v>
      </c>
      <c r="B5" s="14" t="s">
        <v>115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</row>
    <row r="6" spans="1:7" ht="78.75" customHeight="1" x14ac:dyDescent="0.2">
      <c r="A6" s="22" t="s">
        <v>116</v>
      </c>
      <c r="B6" s="28" t="s">
        <v>117</v>
      </c>
      <c r="C6" s="16" t="s">
        <v>118</v>
      </c>
      <c r="D6" s="23"/>
      <c r="E6" s="16" t="s">
        <v>119</v>
      </c>
      <c r="F6" s="16"/>
      <c r="G6" s="16" t="s">
        <v>120</v>
      </c>
    </row>
    <row r="7" spans="1:7" ht="66" customHeight="1" x14ac:dyDescent="0.2">
      <c r="A7" s="22" t="s">
        <v>121</v>
      </c>
      <c r="B7" s="29" t="s">
        <v>122</v>
      </c>
      <c r="C7" s="18" t="s">
        <v>123</v>
      </c>
      <c r="D7" s="24"/>
      <c r="E7" s="18" t="s">
        <v>124</v>
      </c>
      <c r="F7" s="24"/>
      <c r="G7" s="18" t="s">
        <v>125</v>
      </c>
    </row>
    <row r="8" spans="1:7" ht="32" x14ac:dyDescent="0.2">
      <c r="A8" s="22" t="s">
        <v>15</v>
      </c>
      <c r="B8" s="29" t="s">
        <v>126</v>
      </c>
      <c r="C8" s="18" t="s">
        <v>127</v>
      </c>
      <c r="D8" s="24"/>
      <c r="E8" s="18" t="s">
        <v>128</v>
      </c>
      <c r="F8" s="24"/>
      <c r="G8" s="18" t="s">
        <v>129</v>
      </c>
    </row>
    <row r="10" spans="1:7" x14ac:dyDescent="0.2">
      <c r="A10" s="19" t="s">
        <v>6</v>
      </c>
      <c r="B10" s="13" t="s">
        <v>16</v>
      </c>
    </row>
    <row r="11" spans="1:7" x14ac:dyDescent="0.2">
      <c r="C11" s="129" t="s">
        <v>114</v>
      </c>
      <c r="D11" s="129"/>
      <c r="E11" s="129"/>
      <c r="F11" s="129"/>
      <c r="G11" s="129"/>
    </row>
    <row r="12" spans="1:7" x14ac:dyDescent="0.2">
      <c r="A12" s="14" t="s">
        <v>8</v>
      </c>
      <c r="B12" s="14" t="s">
        <v>115</v>
      </c>
      <c r="C12" s="14">
        <v>0</v>
      </c>
      <c r="D12" s="14">
        <v>25</v>
      </c>
      <c r="E12" s="14">
        <v>50</v>
      </c>
      <c r="F12" s="14">
        <v>75</v>
      </c>
      <c r="G12" s="14">
        <v>100</v>
      </c>
    </row>
    <row r="13" spans="1:7" ht="86.25" customHeight="1" x14ac:dyDescent="0.2">
      <c r="A13" s="62" t="s">
        <v>17</v>
      </c>
      <c r="B13" s="30" t="s">
        <v>130</v>
      </c>
      <c r="C13" s="18" t="s">
        <v>131</v>
      </c>
      <c r="D13" s="25"/>
      <c r="E13" s="26" t="s">
        <v>132</v>
      </c>
      <c r="F13" s="26"/>
      <c r="G13" s="26" t="s">
        <v>133</v>
      </c>
    </row>
    <row r="14" spans="1:7" ht="51" customHeight="1" x14ac:dyDescent="0.2">
      <c r="A14" s="61" t="s">
        <v>19</v>
      </c>
      <c r="B14" s="29" t="s">
        <v>134</v>
      </c>
      <c r="C14" s="18" t="s">
        <v>135</v>
      </c>
      <c r="D14" s="18"/>
      <c r="E14" s="18"/>
      <c r="F14" s="18"/>
      <c r="G14" s="18" t="s">
        <v>209</v>
      </c>
    </row>
  </sheetData>
  <mergeCells count="2">
    <mergeCell ref="C4:G4"/>
    <mergeCell ref="C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L33"/>
  <sheetViews>
    <sheetView topLeftCell="A21" zoomScale="70" zoomScaleNormal="70" workbookViewId="0">
      <selection activeCell="A10" sqref="A10"/>
    </sheetView>
  </sheetViews>
  <sheetFormatPr baseColWidth="10" defaultColWidth="8.6640625" defaultRowHeight="15" x14ac:dyDescent="0.2"/>
  <cols>
    <col min="1" max="1" width="40.5" customWidth="1"/>
    <col min="2" max="2" width="35.6640625" customWidth="1"/>
    <col min="3" max="7" width="25.6640625" customWidth="1"/>
  </cols>
  <sheetData>
    <row r="1" spans="1:12" x14ac:dyDescent="0.2">
      <c r="A1" s="38" t="s">
        <v>3</v>
      </c>
      <c r="B1" s="24" t="s">
        <v>21</v>
      </c>
      <c r="C1" s="20"/>
      <c r="D1" s="20"/>
      <c r="E1" s="20"/>
      <c r="F1" s="20"/>
      <c r="G1" s="20"/>
    </row>
    <row r="2" spans="1:12" x14ac:dyDescent="0.2">
      <c r="A2" s="38" t="s">
        <v>6</v>
      </c>
      <c r="B2" s="24" t="s">
        <v>22</v>
      </c>
      <c r="C2" s="20"/>
      <c r="D2" s="20"/>
      <c r="E2" s="20"/>
      <c r="F2" s="20"/>
      <c r="G2" s="20"/>
    </row>
    <row r="3" spans="1:12" x14ac:dyDescent="0.2">
      <c r="A3" s="20"/>
      <c r="B3" s="20"/>
      <c r="C3" s="20"/>
      <c r="D3" s="20"/>
      <c r="E3" s="20"/>
      <c r="F3" s="20"/>
      <c r="G3" s="20"/>
    </row>
    <row r="4" spans="1:12" ht="15" customHeight="1" x14ac:dyDescent="0.2">
      <c r="A4" s="20"/>
      <c r="B4" s="20"/>
      <c r="C4" s="130" t="s">
        <v>114</v>
      </c>
      <c r="D4" s="130"/>
      <c r="E4" s="130"/>
      <c r="F4" s="130"/>
      <c r="G4" s="130"/>
    </row>
    <row r="5" spans="1:12" ht="15" customHeight="1" x14ac:dyDescent="0.2">
      <c r="A5" s="38" t="s">
        <v>8</v>
      </c>
      <c r="B5" s="38" t="s">
        <v>115</v>
      </c>
      <c r="C5" s="38">
        <v>0</v>
      </c>
      <c r="D5" s="38">
        <v>25</v>
      </c>
      <c r="E5" s="38">
        <v>50</v>
      </c>
      <c r="F5" s="38">
        <v>75</v>
      </c>
      <c r="G5" s="38">
        <v>100</v>
      </c>
    </row>
    <row r="6" spans="1:12" ht="50.25" customHeight="1" x14ac:dyDescent="0.2">
      <c r="A6" s="40" t="s">
        <v>23</v>
      </c>
      <c r="B6" s="28" t="s">
        <v>136</v>
      </c>
      <c r="C6" s="16" t="s">
        <v>137</v>
      </c>
      <c r="D6" s="16"/>
      <c r="E6" s="16"/>
      <c r="F6" s="16"/>
      <c r="G6" s="16" t="s">
        <v>138</v>
      </c>
    </row>
    <row r="7" spans="1:12" ht="50.25" customHeight="1" x14ac:dyDescent="0.2">
      <c r="A7" s="41" t="s">
        <v>25</v>
      </c>
      <c r="B7" s="29" t="s">
        <v>139</v>
      </c>
      <c r="C7" s="18" t="s">
        <v>140</v>
      </c>
      <c r="D7" s="18"/>
      <c r="E7" s="18"/>
      <c r="F7" s="18"/>
      <c r="G7" s="18" t="s">
        <v>141</v>
      </c>
    </row>
    <row r="8" spans="1:12" ht="32" x14ac:dyDescent="0.2">
      <c r="A8" s="42" t="s">
        <v>27</v>
      </c>
      <c r="B8" s="30" t="s">
        <v>142</v>
      </c>
      <c r="C8" s="26" t="s">
        <v>143</v>
      </c>
      <c r="D8" s="26"/>
      <c r="E8" s="26"/>
      <c r="F8" s="26"/>
      <c r="G8" s="26" t="s">
        <v>144</v>
      </c>
    </row>
    <row r="9" spans="1:12" ht="90" customHeight="1" x14ac:dyDescent="0.2">
      <c r="A9" s="65" t="s">
        <v>29</v>
      </c>
      <c r="B9" s="27" t="s">
        <v>145</v>
      </c>
      <c r="C9" s="27" t="s">
        <v>146</v>
      </c>
      <c r="D9" s="27"/>
      <c r="E9" s="27" t="s">
        <v>147</v>
      </c>
      <c r="F9" s="27"/>
      <c r="G9" s="27" t="s">
        <v>148</v>
      </c>
      <c r="L9" s="63"/>
    </row>
    <row r="10" spans="1:12" ht="50.25" customHeight="1" x14ac:dyDescent="0.2">
      <c r="A10" s="64" t="s">
        <v>30</v>
      </c>
      <c r="B10" s="66" t="s">
        <v>149</v>
      </c>
      <c r="C10" s="49" t="s">
        <v>150</v>
      </c>
      <c r="D10" s="49"/>
      <c r="E10" s="49"/>
      <c r="F10" s="49"/>
      <c r="G10" s="49" t="s">
        <v>151</v>
      </c>
    </row>
    <row r="11" spans="1:12" ht="50.25" customHeight="1" x14ac:dyDescent="0.2">
      <c r="A11" s="43" t="s">
        <v>31</v>
      </c>
      <c r="B11" s="37" t="s">
        <v>152</v>
      </c>
      <c r="C11" s="27" t="s">
        <v>153</v>
      </c>
      <c r="D11" s="27"/>
      <c r="E11" s="27"/>
      <c r="F11" s="27"/>
      <c r="G11" s="27" t="s">
        <v>154</v>
      </c>
    </row>
    <row r="12" spans="1:12" ht="50.25" customHeight="1" x14ac:dyDescent="0.2">
      <c r="A12" s="67" t="s">
        <v>32</v>
      </c>
      <c r="B12" s="54" t="s">
        <v>155</v>
      </c>
      <c r="C12" s="50" t="s">
        <v>156</v>
      </c>
      <c r="D12" s="50"/>
      <c r="E12" s="50"/>
      <c r="F12" s="50"/>
      <c r="G12" s="50" t="s">
        <v>157</v>
      </c>
    </row>
    <row r="13" spans="1:12" ht="48" x14ac:dyDescent="0.2">
      <c r="A13" s="43" t="s">
        <v>34</v>
      </c>
      <c r="B13" s="74" t="s">
        <v>158</v>
      </c>
      <c r="C13" s="27" t="s">
        <v>159</v>
      </c>
      <c r="D13" s="27"/>
      <c r="E13" s="27" t="s">
        <v>160</v>
      </c>
      <c r="F13" s="27"/>
      <c r="G13" s="27" t="s">
        <v>161</v>
      </c>
    </row>
    <row r="14" spans="1:12" x14ac:dyDescent="0.2">
      <c r="A14" s="20"/>
      <c r="B14" s="20"/>
      <c r="C14" s="17"/>
      <c r="D14" s="17"/>
      <c r="E14" s="17"/>
      <c r="F14" s="17"/>
      <c r="G14" s="17"/>
    </row>
    <row r="15" spans="1:12" x14ac:dyDescent="0.2">
      <c r="A15" s="20"/>
      <c r="C15" s="17"/>
      <c r="D15" s="17"/>
      <c r="E15" s="17"/>
      <c r="F15" s="17"/>
      <c r="G15" s="17"/>
    </row>
    <row r="16" spans="1:12" x14ac:dyDescent="0.2">
      <c r="C16" s="17"/>
      <c r="D16" s="17"/>
      <c r="E16" s="17"/>
      <c r="F16" s="17"/>
      <c r="G16" s="17"/>
    </row>
    <row r="17" spans="1:7" x14ac:dyDescent="0.2">
      <c r="A17" s="38" t="s">
        <v>6</v>
      </c>
      <c r="B17" s="24" t="s">
        <v>35</v>
      </c>
      <c r="C17" s="17"/>
      <c r="D17" s="17"/>
      <c r="E17" s="17"/>
      <c r="F17" s="17"/>
      <c r="G17" s="17"/>
    </row>
    <row r="18" spans="1:7" x14ac:dyDescent="0.2">
      <c r="A18" s="20"/>
    </row>
    <row r="19" spans="1:7" x14ac:dyDescent="0.2">
      <c r="A19" s="20"/>
      <c r="B19" s="20"/>
      <c r="C19" s="131" t="s">
        <v>114</v>
      </c>
      <c r="D19" s="131"/>
      <c r="E19" s="131"/>
      <c r="F19" s="131"/>
      <c r="G19" s="131"/>
    </row>
    <row r="20" spans="1:7" ht="50.25" customHeight="1" x14ac:dyDescent="0.2">
      <c r="A20" s="38" t="s">
        <v>8</v>
      </c>
      <c r="B20" s="38" t="s">
        <v>115</v>
      </c>
      <c r="C20" s="39">
        <v>0</v>
      </c>
      <c r="D20" s="39">
        <v>25</v>
      </c>
      <c r="E20" s="39">
        <v>50</v>
      </c>
      <c r="F20" s="39">
        <v>75</v>
      </c>
      <c r="G20" s="39">
        <v>100</v>
      </c>
    </row>
    <row r="21" spans="1:7" ht="81" customHeight="1" x14ac:dyDescent="0.2">
      <c r="A21" s="47" t="s">
        <v>36</v>
      </c>
      <c r="B21" s="35" t="s">
        <v>162</v>
      </c>
      <c r="C21" s="21" t="s">
        <v>163</v>
      </c>
      <c r="D21" s="21"/>
      <c r="E21" s="21"/>
      <c r="F21" s="21"/>
      <c r="G21" s="21" t="s">
        <v>164</v>
      </c>
    </row>
    <row r="22" spans="1:7" ht="81" customHeight="1" x14ac:dyDescent="0.2">
      <c r="A22" s="69" t="s">
        <v>38</v>
      </c>
      <c r="B22" s="37" t="s">
        <v>165</v>
      </c>
      <c r="C22" s="27" t="s">
        <v>166</v>
      </c>
      <c r="D22" s="27"/>
      <c r="E22" s="27" t="s">
        <v>211</v>
      </c>
      <c r="F22" s="27"/>
      <c r="G22" s="27" t="s">
        <v>210</v>
      </c>
    </row>
    <row r="23" spans="1:7" ht="81" customHeight="1" x14ac:dyDescent="0.2">
      <c r="A23" s="70" t="s">
        <v>39</v>
      </c>
      <c r="B23" s="73" t="s">
        <v>167</v>
      </c>
      <c r="C23" s="71" t="s">
        <v>167</v>
      </c>
      <c r="D23" s="71"/>
      <c r="E23" s="71"/>
      <c r="F23" s="71"/>
      <c r="G23" s="72" t="s">
        <v>168</v>
      </c>
    </row>
    <row r="24" spans="1:7" ht="50.25" customHeight="1" x14ac:dyDescent="0.2">
      <c r="A24" s="70" t="s">
        <v>41</v>
      </c>
      <c r="B24" s="37" t="s">
        <v>169</v>
      </c>
      <c r="C24" s="27" t="s">
        <v>170</v>
      </c>
      <c r="D24" s="27"/>
      <c r="E24" s="27"/>
      <c r="F24" s="27"/>
      <c r="G24" s="27" t="s">
        <v>171</v>
      </c>
    </row>
    <row r="25" spans="1:7" x14ac:dyDescent="0.2">
      <c r="A25" s="20"/>
      <c r="B25" s="20"/>
      <c r="C25" s="17"/>
      <c r="D25" s="17"/>
      <c r="E25" s="17"/>
      <c r="F25" s="17"/>
      <c r="G25" s="17"/>
    </row>
    <row r="26" spans="1:7" x14ac:dyDescent="0.2">
      <c r="A26" s="20"/>
      <c r="C26" s="17"/>
      <c r="D26" s="17"/>
      <c r="E26" s="17"/>
      <c r="F26" s="17"/>
      <c r="G26" s="17"/>
    </row>
    <row r="27" spans="1:7" x14ac:dyDescent="0.2">
      <c r="C27" s="17"/>
      <c r="D27" s="17"/>
      <c r="E27" s="17"/>
      <c r="F27" s="17"/>
      <c r="G27" s="17"/>
    </row>
    <row r="28" spans="1:7" x14ac:dyDescent="0.2">
      <c r="A28" s="38" t="s">
        <v>6</v>
      </c>
      <c r="B28" s="24" t="s">
        <v>42</v>
      </c>
      <c r="C28" s="17"/>
      <c r="D28" s="17"/>
      <c r="E28" s="17"/>
      <c r="F28" s="17"/>
      <c r="G28" s="17"/>
    </row>
    <row r="29" spans="1:7" x14ac:dyDescent="0.2">
      <c r="A29" s="20"/>
      <c r="B29" s="20"/>
      <c r="C29" s="131" t="s">
        <v>114</v>
      </c>
      <c r="D29" s="131"/>
      <c r="E29" s="131"/>
      <c r="F29" s="131"/>
      <c r="G29" s="131"/>
    </row>
    <row r="30" spans="1:7" x14ac:dyDescent="0.2">
      <c r="A30" s="38" t="s">
        <v>8</v>
      </c>
      <c r="B30" s="38" t="s">
        <v>115</v>
      </c>
      <c r="C30" s="39">
        <v>0</v>
      </c>
      <c r="D30" s="39">
        <v>25</v>
      </c>
      <c r="E30" s="39">
        <v>50</v>
      </c>
      <c r="F30" s="39">
        <v>75</v>
      </c>
      <c r="G30" s="39">
        <v>100</v>
      </c>
    </row>
    <row r="31" spans="1:7" ht="50.25" customHeight="1" x14ac:dyDescent="0.2">
      <c r="A31" s="68" t="s">
        <v>43</v>
      </c>
      <c r="B31" s="37" t="s">
        <v>172</v>
      </c>
      <c r="C31" s="27" t="s">
        <v>173</v>
      </c>
      <c r="D31" s="27"/>
      <c r="E31" s="27"/>
      <c r="F31" s="27"/>
      <c r="G31" s="27" t="s">
        <v>174</v>
      </c>
    </row>
    <row r="32" spans="1:7" ht="50.25" customHeight="1" x14ac:dyDescent="0.2">
      <c r="A32" s="76" t="s">
        <v>44</v>
      </c>
      <c r="B32" s="55" t="s">
        <v>212</v>
      </c>
      <c r="C32" s="27" t="s">
        <v>213</v>
      </c>
      <c r="D32" s="27"/>
      <c r="E32" s="27" t="s">
        <v>215</v>
      </c>
      <c r="F32" s="27"/>
      <c r="G32" s="27" t="s">
        <v>214</v>
      </c>
    </row>
    <row r="33" spans="1:7" ht="48" x14ac:dyDescent="0.2">
      <c r="A33" s="75" t="s">
        <v>45</v>
      </c>
      <c r="B33" s="37" t="s">
        <v>175</v>
      </c>
      <c r="C33" s="27" t="s">
        <v>176</v>
      </c>
      <c r="D33" s="27"/>
      <c r="E33" s="27"/>
      <c r="F33" s="27"/>
      <c r="G33" s="27" t="s">
        <v>177</v>
      </c>
    </row>
  </sheetData>
  <mergeCells count="3">
    <mergeCell ref="C4:G4"/>
    <mergeCell ref="C19:G19"/>
    <mergeCell ref="C29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24"/>
  <sheetViews>
    <sheetView topLeftCell="A9" zoomScale="70" zoomScaleNormal="70" workbookViewId="0">
      <selection activeCell="G7" sqref="G7"/>
    </sheetView>
  </sheetViews>
  <sheetFormatPr baseColWidth="10" defaultColWidth="8.6640625" defaultRowHeight="15" x14ac:dyDescent="0.2"/>
  <cols>
    <col min="1" max="2" width="35.6640625" customWidth="1"/>
    <col min="3" max="7" width="25.6640625" customWidth="1"/>
    <col min="12" max="12" width="10.6640625" customWidth="1"/>
    <col min="14" max="14" width="65.1640625" customWidth="1"/>
  </cols>
  <sheetData>
    <row r="1" spans="1:12" x14ac:dyDescent="0.2">
      <c r="A1" s="15" t="s">
        <v>3</v>
      </c>
      <c r="B1" s="13" t="s">
        <v>46</v>
      </c>
    </row>
    <row r="2" spans="1:12" x14ac:dyDescent="0.2">
      <c r="A2" s="15" t="s">
        <v>6</v>
      </c>
      <c r="B2" s="13" t="s">
        <v>47</v>
      </c>
    </row>
    <row r="4" spans="1:12" x14ac:dyDescent="0.2">
      <c r="C4" s="128" t="s">
        <v>114</v>
      </c>
      <c r="D4" s="128"/>
      <c r="E4" s="128"/>
      <c r="F4" s="128"/>
      <c r="G4" s="128"/>
      <c r="I4" s="36"/>
      <c r="K4" s="36"/>
      <c r="L4" s="36"/>
    </row>
    <row r="5" spans="1:12" x14ac:dyDescent="0.2">
      <c r="A5" s="44" t="s">
        <v>8</v>
      </c>
      <c r="B5" s="44" t="s">
        <v>115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  <c r="I5" s="36"/>
      <c r="K5" s="36"/>
      <c r="L5" s="36"/>
    </row>
    <row r="6" spans="1:12" ht="105" customHeight="1" x14ac:dyDescent="0.2">
      <c r="A6" s="56" t="s">
        <v>48</v>
      </c>
      <c r="B6" s="54" t="s">
        <v>178</v>
      </c>
      <c r="C6" s="52" t="s">
        <v>179</v>
      </c>
      <c r="D6" s="21"/>
      <c r="E6" s="21" t="s">
        <v>180</v>
      </c>
      <c r="F6" s="21"/>
      <c r="G6" s="21" t="s">
        <v>181</v>
      </c>
      <c r="I6" s="36"/>
      <c r="K6" s="36"/>
      <c r="L6" s="36"/>
    </row>
    <row r="7" spans="1:12" ht="105" customHeight="1" x14ac:dyDescent="0.2">
      <c r="A7" s="51" t="s">
        <v>49</v>
      </c>
      <c r="B7" s="55" t="s">
        <v>182</v>
      </c>
      <c r="C7" s="53" t="s">
        <v>183</v>
      </c>
      <c r="D7" s="57"/>
      <c r="E7" s="48" t="s">
        <v>184</v>
      </c>
      <c r="F7" s="48"/>
      <c r="G7" s="27" t="s">
        <v>185</v>
      </c>
      <c r="I7" s="36"/>
      <c r="K7" s="36"/>
      <c r="L7" s="36"/>
    </row>
    <row r="8" spans="1:12" ht="105" customHeight="1" x14ac:dyDescent="0.2">
      <c r="A8" s="31" t="s">
        <v>51</v>
      </c>
      <c r="B8" s="35" t="s">
        <v>186</v>
      </c>
      <c r="C8" s="18" t="s">
        <v>187</v>
      </c>
      <c r="D8" s="21"/>
      <c r="E8" s="18" t="s">
        <v>188</v>
      </c>
      <c r="F8" s="21"/>
      <c r="G8" s="18" t="s">
        <v>189</v>
      </c>
      <c r="I8" s="36"/>
      <c r="K8" s="36"/>
      <c r="L8" s="36"/>
    </row>
    <row r="9" spans="1:12" ht="85.5" customHeight="1" x14ac:dyDescent="0.2">
      <c r="A9" s="32" t="s">
        <v>53</v>
      </c>
      <c r="B9" s="29" t="s">
        <v>190</v>
      </c>
      <c r="C9" s="18" t="s">
        <v>191</v>
      </c>
      <c r="D9" s="18"/>
      <c r="E9" s="18" t="s">
        <v>192</v>
      </c>
      <c r="F9" s="18"/>
      <c r="G9" s="18" t="s">
        <v>193</v>
      </c>
      <c r="I9" s="36"/>
      <c r="K9" s="36"/>
      <c r="L9" s="36"/>
    </row>
    <row r="10" spans="1:12" x14ac:dyDescent="0.2">
      <c r="A10" s="17"/>
      <c r="I10" s="36"/>
      <c r="K10" s="36"/>
      <c r="L10" s="36"/>
    </row>
    <row r="11" spans="1:12" x14ac:dyDescent="0.2">
      <c r="I11" s="36"/>
      <c r="K11" s="36"/>
      <c r="L11" s="36"/>
    </row>
    <row r="12" spans="1:12" x14ac:dyDescent="0.2">
      <c r="A12" s="15" t="s">
        <v>6</v>
      </c>
      <c r="B12" s="13" t="s">
        <v>54</v>
      </c>
    </row>
    <row r="14" spans="1:12" x14ac:dyDescent="0.2">
      <c r="C14" s="128" t="s">
        <v>114</v>
      </c>
      <c r="D14" s="128"/>
      <c r="E14" s="128"/>
      <c r="F14" s="128"/>
      <c r="G14" s="128"/>
    </row>
    <row r="15" spans="1:12" x14ac:dyDescent="0.2">
      <c r="A15" s="14" t="s">
        <v>8</v>
      </c>
      <c r="B15" s="14" t="s">
        <v>115</v>
      </c>
      <c r="C15" s="14">
        <v>0</v>
      </c>
      <c r="D15" s="14">
        <v>25</v>
      </c>
      <c r="E15" s="14">
        <v>50</v>
      </c>
      <c r="F15" s="14">
        <v>75</v>
      </c>
      <c r="G15" s="14">
        <v>100</v>
      </c>
    </row>
    <row r="16" spans="1:12" ht="66" customHeight="1" x14ac:dyDescent="0.2">
      <c r="A16" s="33" t="s">
        <v>55</v>
      </c>
      <c r="B16" s="28" t="s">
        <v>194</v>
      </c>
      <c r="C16" s="16" t="s">
        <v>195</v>
      </c>
      <c r="D16" s="16"/>
      <c r="E16" s="16" t="s">
        <v>196</v>
      </c>
      <c r="F16" s="16"/>
      <c r="G16" s="16" t="s">
        <v>197</v>
      </c>
    </row>
    <row r="19" spans="1:7" x14ac:dyDescent="0.2">
      <c r="A19" s="15" t="s">
        <v>6</v>
      </c>
      <c r="B19" s="13" t="s">
        <v>56</v>
      </c>
    </row>
    <row r="21" spans="1:7" x14ac:dyDescent="0.2">
      <c r="C21" s="128" t="s">
        <v>114</v>
      </c>
      <c r="D21" s="128"/>
      <c r="E21" s="128"/>
      <c r="F21" s="128"/>
      <c r="G21" s="128"/>
    </row>
    <row r="22" spans="1:7" x14ac:dyDescent="0.2">
      <c r="A22" s="14" t="s">
        <v>8</v>
      </c>
      <c r="B22" s="14" t="s">
        <v>115</v>
      </c>
      <c r="C22" s="14">
        <v>0</v>
      </c>
      <c r="D22" s="14">
        <v>25</v>
      </c>
      <c r="E22" s="14">
        <v>50</v>
      </c>
      <c r="F22" s="14">
        <v>75</v>
      </c>
      <c r="G22" s="14">
        <v>100</v>
      </c>
    </row>
    <row r="23" spans="1:7" ht="78" customHeight="1" x14ac:dyDescent="0.2">
      <c r="A23" s="34" t="s">
        <v>57</v>
      </c>
      <c r="B23" s="28" t="s">
        <v>198</v>
      </c>
      <c r="C23" s="16" t="s">
        <v>199</v>
      </c>
      <c r="D23" s="16"/>
      <c r="E23" s="16" t="s">
        <v>200</v>
      </c>
      <c r="F23" s="16"/>
      <c r="G23" s="16" t="s">
        <v>201</v>
      </c>
    </row>
    <row r="24" spans="1:7" ht="78" customHeight="1" x14ac:dyDescent="0.2">
      <c r="A24" s="34" t="s">
        <v>58</v>
      </c>
      <c r="B24" s="28" t="s">
        <v>202</v>
      </c>
      <c r="C24" s="16" t="s">
        <v>203</v>
      </c>
      <c r="D24" s="16"/>
      <c r="E24" s="16" t="s">
        <v>204</v>
      </c>
      <c r="F24" s="16"/>
      <c r="G24" s="16" t="s">
        <v>205</v>
      </c>
    </row>
  </sheetData>
  <mergeCells count="3">
    <mergeCell ref="C14:G14"/>
    <mergeCell ref="C21:G21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baseColWidth="10" defaultColWidth="8.6640625" defaultRowHeight="15" x14ac:dyDescent="0.2"/>
  <sheetData>
    <row r="1" spans="1:1" x14ac:dyDescent="0.2">
      <c r="A1" s="1" t="s">
        <v>206</v>
      </c>
    </row>
    <row r="2" spans="1:1" x14ac:dyDescent="0.2">
      <c r="A2" s="1" t="s">
        <v>207</v>
      </c>
    </row>
    <row r="3" spans="1:1" x14ac:dyDescent="0.2">
      <c r="A3" s="1" t="s">
        <v>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3c5dfb-1cc0-4432-86cb-2a9d0e8e1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13" ma:contentTypeDescription="Create a new document." ma:contentTypeScope="" ma:versionID="f45457a8fec25903f24ec3462ba5b3cb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0df3da505a92ff8a044c9d35a0219df9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schemas.microsoft.com/office/2006/metadata/properties"/>
    <ds:schemaRef ds:uri="http://schemas.microsoft.com/office/infopath/2007/PartnerControls"/>
    <ds:schemaRef ds:uri="6d3c5dfb-1cc0-4432-86cb-2a9d0e8e17b0"/>
  </ds:schemaRefs>
</ds:datastoreItem>
</file>

<file path=customXml/itemProps2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A6E2CE-2F3A-45C8-A569-1CAECA31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QEF (antigo)</vt:lpstr>
      <vt:lpstr>Functionality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2024-12-02T14:56:51Z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  <property fmtid="{D5CDD505-2E9C-101B-9397-08002B2CF9AE}" pid="3" name="MediaServiceImageTags">
    <vt:lpwstr/>
  </property>
</Properties>
</file>