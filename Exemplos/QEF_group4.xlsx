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5/CAMUL-MEI (1sem)/TP/QEF final/"/>
    </mc:Choice>
  </mc:AlternateContent>
  <xr:revisionPtr revIDLastSave="0" documentId="8_{818B166E-9B48-B641-8174-2DB6A7DD6CF3}" xr6:coauthVersionLast="47" xr6:coauthVersionMax="47" xr10:uidLastSave="{00000000-0000-0000-0000-000000000000}"/>
  <bookViews>
    <workbookView xWindow="0" yWindow="740" windowWidth="29040" windowHeight="16440" xr2:uid="{00000000-000D-0000-FFFF-FFFF00000000}"/>
  </bookViews>
  <sheets>
    <sheet name="QEF" sheetId="1" r:id="rId1"/>
    <sheet name="Usability" sheetId="5" r:id="rId2"/>
    <sheet name="Functionality" sheetId="4" r:id="rId3"/>
    <sheet name="Aesthetic" sheetId="2" r:id="rId4"/>
    <sheet name="Accessability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E39" i="1"/>
  <c r="C39" i="1" s="1"/>
  <c r="E36" i="1"/>
  <c r="E26" i="1"/>
  <c r="E23" i="1"/>
  <c r="E17" i="1"/>
  <c r="E14" i="1"/>
  <c r="E12" i="1"/>
  <c r="C12" i="1" l="1"/>
  <c r="F39" i="1"/>
  <c r="F26" i="1"/>
  <c r="F36" i="1"/>
  <c r="F23" i="1"/>
  <c r="F17" i="1"/>
  <c r="F14" i="1"/>
  <c r="F12" i="1"/>
  <c r="E9" i="1"/>
  <c r="C2" i="1" s="1"/>
  <c r="E7" i="1"/>
  <c r="E2" i="1"/>
  <c r="F2" i="1"/>
  <c r="F9" i="1"/>
  <c r="F7" i="1"/>
  <c r="A2" i="1" l="1"/>
  <c r="B2" i="1"/>
</calcChain>
</file>

<file path=xl/sharedStrings.xml><?xml version="1.0" encoding="utf-8"?>
<sst xmlns="http://schemas.openxmlformats.org/spreadsheetml/2006/main" count="345" uniqueCount="248">
  <si>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</si>
  <si>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</si>
  <si>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</si>
  <si>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</si>
  <si>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</si>
  <si>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</si>
  <si>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</si>
  <si>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</si>
  <si>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</si>
  <si>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</si>
  <si>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Usability</t>
  </si>
  <si>
    <t>Engaging</t>
  </si>
  <si>
    <t>UE01 - Users are able to change their password</t>
  </si>
  <si>
    <t>UE02 - Users need an active internet connection to access</t>
  </si>
  <si>
    <t>UE03 - Maximize compatibility with current and future user agents, including assistive technologies</t>
  </si>
  <si>
    <t>UE04 - Website is responsive and works well on various devices and screen sizes</t>
  </si>
  <si>
    <t>UE05 - Website is available in English</t>
  </si>
  <si>
    <t>Easy to learn</t>
  </si>
  <si>
    <t>UETL01 - The site's layout is consistent.</t>
  </si>
  <si>
    <t>UETL02 - A FAQ/Informational Page is available</t>
  </si>
  <si>
    <t>Performance and Security</t>
  </si>
  <si>
    <t>UP01 - Good Performance, capable of handling a large number of simultaneous users</t>
  </si>
  <si>
    <t>UP02 - Scalable, capable of adding future lessons and content with ease</t>
  </si>
  <si>
    <t>UP03 - Ensure user data privacy and security</t>
  </si>
  <si>
    <t>Functionality</t>
  </si>
  <si>
    <t>Marketing</t>
  </si>
  <si>
    <t>FM01 - Description of the MOOC</t>
  </si>
  <si>
    <t>FM02 - Description of the lessons</t>
  </si>
  <si>
    <t>Customizability</t>
  </si>
  <si>
    <t>FC01 - Users can create an account</t>
  </si>
  <si>
    <t>FC02 - Users can Login to existing account</t>
  </si>
  <si>
    <t>FC03 - Users can consent (or not) to having their data used in quizzes</t>
  </si>
  <si>
    <t>MOOC Integration</t>
  </si>
  <si>
    <t>FI01 - Host the content of the MOOC course</t>
  </si>
  <si>
    <t>FI02 - Respect the guidelines and restrictions of the MOOC distribution platform</t>
  </si>
  <si>
    <t>FI03 - Users can access all Chapters</t>
  </si>
  <si>
    <t>FI04 - Users can access all Lessons</t>
  </si>
  <si>
    <t xml:space="preserve">FI05 - Users can answer all Quizzes </t>
  </si>
  <si>
    <t>FI06 - Provided correct answers for the quizzes and final exam</t>
  </si>
  <si>
    <t>Community Engagement</t>
  </si>
  <si>
    <t>FCE01 - Forum where students can interact with each other</t>
  </si>
  <si>
    <t>FCE02 - Interactive activities such as quizzes and events</t>
  </si>
  <si>
    <t>FCE03 - Allow user's Rating and Feedback for each Lessons</t>
  </si>
  <si>
    <t>Aesthetic</t>
  </si>
  <si>
    <t>Visual Harmony and Appeal</t>
  </si>
  <si>
    <t>AVA01 - Consistency in color palette</t>
  </si>
  <si>
    <t>AVA02 - Consistency in design elements</t>
  </si>
  <si>
    <t>AVA03 - Use of positive space for content</t>
  </si>
  <si>
    <t>AVA04 - Use of negative space for content</t>
  </si>
  <si>
    <t>AVA05 - Use of symmetry in page content</t>
  </si>
  <si>
    <t>AVA06 - Use of asymmetry in page content</t>
  </si>
  <si>
    <t>AVA07 - Use of the Rule of Thirds</t>
  </si>
  <si>
    <t>AVA08 - Use of color contrast</t>
  </si>
  <si>
    <t>AVA09 - High-quality and visually appealing elements</t>
  </si>
  <si>
    <t>AVA10 - Balanced use of visual weight</t>
  </si>
  <si>
    <t>Organization</t>
  </si>
  <si>
    <t>AOH01 - Clear distinction between main content and supplementary information</t>
  </si>
  <si>
    <t>AOH02 - Intuitive placement of important content</t>
  </si>
  <si>
    <t>AOH03 - Usage of visual hierarchy to guide the user through the content</t>
  </si>
  <si>
    <t>Accessability</t>
  </si>
  <si>
    <t>Readability</t>
  </si>
  <si>
    <t>AR01 - Legible font choice</t>
  </si>
  <si>
    <t>AR02 - Appropriate font size for body text</t>
  </si>
  <si>
    <t>AR03 - Use of serif and non-serif fonts according to the webpage style</t>
  </si>
  <si>
    <t>AR04 - Adequate line spacing for easy reading</t>
  </si>
  <si>
    <t>AR05 - Adequate line length for easy reading</t>
  </si>
  <si>
    <t>AR06 - Use of bullet points and lists for readability</t>
  </si>
  <si>
    <t>AR07 - The different elements of the website take into account their visibility to a colorblind person</t>
  </si>
  <si>
    <t>AR08 - The text takes into account its readability to a colorblind person</t>
  </si>
  <si>
    <t>AR09 - Clickable elements like links and buttons are easily identifiable</t>
  </si>
  <si>
    <t>Wfk - Fullfilment (%)</t>
  </si>
  <si>
    <t>Metric Evaluation</t>
  </si>
  <si>
    <t>Users can, at any time while logged in, change the password of the account their are logged into</t>
  </si>
  <si>
    <t>Users can not change the account's password</t>
  </si>
  <si>
    <t>Users can change the account's password</t>
  </si>
  <si>
    <t>The usage of the website depends on whether or not there is an internet connection</t>
  </si>
  <si>
    <t>Cant access website in any form</t>
  </si>
  <si>
    <t>Can't access website through internet connection</t>
  </si>
  <si>
    <t>The website is available through internet connection</t>
  </si>
  <si>
    <t>Users with different browser versions should be able to access the website and utilize their features</t>
  </si>
  <si>
    <t>The website is only accessible in a specific platform version</t>
  </si>
  <si>
    <t>The website is limited to working on only 2 different platform versions</t>
  </si>
  <si>
    <t>The website is limited to working on only 3 different platform versions</t>
  </si>
  <si>
    <t>The website is limited to working on up to 5 different platform versions</t>
  </si>
  <si>
    <t>The website works on more than 5 different platform versions</t>
  </si>
  <si>
    <t>The user's screen size should not compromise the website's structure, disposition and, accessibility. For this reason, the website should adjust to different screen sizes.</t>
  </si>
  <si>
    <t>The website does not adjust and resize itself according to the user's screen size and device</t>
  </si>
  <si>
    <t>The website does adjust and resize itself according to the user's screen size and device, but some features are compromised</t>
  </si>
  <si>
    <t>The website adjusts and resizes itself according to user's screen size and device, while still being fully operable</t>
  </si>
  <si>
    <t>UE03 - Website is available in English</t>
  </si>
  <si>
    <t>The website is available in the English language</t>
  </si>
  <si>
    <t>English language is not available</t>
  </si>
  <si>
    <t>English language is available</t>
  </si>
  <si>
    <t>The is a consistent layout and navigation structure throughout the site to help users understand and navigate content more easily.</t>
  </si>
  <si>
    <t>User can't navigate pages</t>
  </si>
  <si>
    <t xml:space="preserve">User can go through the app but with dificulty </t>
  </si>
  <si>
    <t>Users can navigate easily and intuitively through the app</t>
  </si>
  <si>
    <t>A FAQ page should be available to help the Users. This should be the page where the tutorial is available.</t>
  </si>
  <si>
    <t>There is no FAQ/tutorial page</t>
  </si>
  <si>
    <t>FAQ only presents the Users with the tutorial video</t>
  </si>
  <si>
    <t>FAQ page contains the tutorial video and other relevant information about the online course</t>
  </si>
  <si>
    <t>The web platform was optimized so that a large number of users does not affect performance</t>
  </si>
  <si>
    <t>The web platform has poor performance constantly, even with only 1 user</t>
  </si>
  <si>
    <t>The web platform is capable of handling up to 3 users without losing performance</t>
  </si>
  <si>
    <t>The web platform handles a large quantity of users without losing performance</t>
  </si>
  <si>
    <t>The web platform was made scalable, so it is possible to add new lessons to the MOOC and other content such as events dynamically</t>
  </si>
  <si>
    <t>All content was hard-coded, and so adding new content needs new pages</t>
  </si>
  <si>
    <t>Either the MOOC or the events was hard-coded, but the other is dynamic from data in the database</t>
  </si>
  <si>
    <t>Both the MOOC content and the events page is dynamic</t>
  </si>
  <si>
    <t>The platform was implemented with data privacy in mind</t>
  </si>
  <si>
    <t>No user privacy was taken into account</t>
  </si>
  <si>
    <t>User privacy and security was taken into account, but the system has some flaws</t>
  </si>
  <si>
    <t>The user's data privacy and security is completely guaranteed</t>
  </si>
  <si>
    <t>The visual composition has a description of the MOOC</t>
  </si>
  <si>
    <t>The description of the MOOC does not exist</t>
  </si>
  <si>
    <t>The page exists, but some elements are missing. (Photos or descriptions.)</t>
  </si>
  <si>
    <t>The page exists and has everything necessary to present the instructors to the audience.</t>
  </si>
  <si>
    <t>The visual composition has a description of the lessons</t>
  </si>
  <si>
    <t>The description of the lessons does not exist</t>
  </si>
  <si>
    <t>The page exists and has everything necessary to market the MOOC.</t>
  </si>
  <si>
    <t>Users can create an account on the Website at any time through an username/email</t>
  </si>
  <si>
    <t>Users are not able to create na account</t>
  </si>
  <si>
    <t>User are able to create an account without a unique ID</t>
  </si>
  <si>
    <t>Users are able to create an account with unique ID</t>
  </si>
  <si>
    <t>Users can login into an existing account at any time</t>
  </si>
  <si>
    <t>Users are not able to login into an existing account</t>
  </si>
  <si>
    <t>Users are able to login into an existing account</t>
  </si>
  <si>
    <t>At any time, Users can choose to consent or not to give away their quiz results for statistical purposes</t>
  </si>
  <si>
    <t>Users can not choose whether or not they consent to the usage of their data from quizzes</t>
  </si>
  <si>
    <t>Users are able to choose whether or not they consent to the usage of their data from quizzes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</si>
  <si>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</si>
  <si>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</si>
  <si>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</si>
  <si>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Website can host video, quizzes and extra materials.</t>
  </si>
  <si>
    <t>The platform respects ALL the guidelines from the Udemy platform in relation to the developed MOOC.</t>
  </si>
  <si>
    <t>The website does not respect any guidelines.</t>
  </si>
  <si>
    <t>The website respects some of the guidelines.</t>
  </si>
  <si>
    <t>The website respects every guideline set by Udemy.</t>
  </si>
  <si>
    <t>The Users can choose to view any Chapter at any time in any order</t>
  </si>
  <si>
    <t>Users cant access any Chapter</t>
  </si>
  <si>
    <t xml:space="preserve">Users can only view Chapters in a specific order </t>
  </si>
  <si>
    <t>Users can view any Chapter at any time</t>
  </si>
  <si>
    <t>The Users can choose to view any Lesson at any time in any order</t>
  </si>
  <si>
    <t>Users cant access any Lesson</t>
  </si>
  <si>
    <t xml:space="preserve">Users can only view Lessons in a specific order </t>
  </si>
  <si>
    <t>Users can view any Lesson at any time</t>
  </si>
  <si>
    <t xml:space="preserve">The Users can choose to answer any Quiz at any time and in any order </t>
  </si>
  <si>
    <t>Users dont have access to quizzes</t>
  </si>
  <si>
    <t>Users can only answer quizzes in a specific order</t>
  </si>
  <si>
    <t>Users can answer any Quiz at any time</t>
  </si>
  <si>
    <t>FI06 - Functionality to calculate and show the student their score in the exam</t>
  </si>
  <si>
    <t>The exam's final score is calculated and presented to the student after he takes it.</t>
  </si>
  <si>
    <t>The exam's final score isn't calculated.</t>
  </si>
  <si>
    <t>The exam's final score is calculated, but not shown.</t>
  </si>
  <si>
    <t>The exam's score is calculated and shown.</t>
  </si>
  <si>
    <t>The website provides a forum where posts, user profiles and answers can be consulted.</t>
  </si>
  <si>
    <t>A forum page does not exist.</t>
  </si>
  <si>
    <t>The forum page exists, but users cannot answer to published posts.</t>
  </si>
  <si>
    <t>The forum page exists and users are able to answer to posts, have their own user profile and see other user's posts.</t>
  </si>
  <si>
    <t>The website hosts each lesson's quizzes and other events.</t>
  </si>
  <si>
    <t>The website does not host events or quizzes.</t>
  </si>
  <si>
    <t>The website hosts some extra quizzes, but not events.</t>
  </si>
  <si>
    <t>The website hosts extra quizzes through events.</t>
  </si>
  <si>
    <t>The users should be able to rate and give feedback for each lesson.</t>
  </si>
  <si>
    <t>The website does not provide these features.</t>
  </si>
  <si>
    <t>The user can rate the lesson on a scale, but cannot give textual feedback</t>
  </si>
  <si>
    <t>The user can both rate and give textual feedback for each lesson</t>
  </si>
  <si>
    <t>Color palette is consistent with the content and feeling that the website is trying to convey</t>
  </si>
  <si>
    <t>The color palette does not make sense in the page context</t>
  </si>
  <si>
    <t>The color palette is used effectively to help the design of the page</t>
  </si>
  <si>
    <t>Design and creative elements are used correctly and are consistent throughout the website</t>
  </si>
  <si>
    <t>Design and creative elements are not used in the page context</t>
  </si>
  <si>
    <t>Design and creative elements are used incorrectly (do not make sense in the context of the content)</t>
  </si>
  <si>
    <t>Color scheme is used effectively to help the design of the page</t>
  </si>
  <si>
    <t>Correct and Effective use of positive space</t>
  </si>
  <si>
    <t>No page uses positive space</t>
  </si>
  <si>
    <t>At least one page uses positive space</t>
  </si>
  <si>
    <t>Correct and Effective use of negative space</t>
  </si>
  <si>
    <t>No page uses negative space</t>
  </si>
  <si>
    <t>At least one page uses negative space</t>
  </si>
  <si>
    <t>Display of symmetry to make a more attractive page</t>
  </si>
  <si>
    <t>Website doesn't make use of symmetry factor</t>
  </si>
  <si>
    <t>Website makes use of symmetry</t>
  </si>
  <si>
    <t>Display of asymmetry to make a more attractive page</t>
  </si>
  <si>
    <t>Website doesn't make use of asymmetry factor</t>
  </si>
  <si>
    <t>Website makes use of asymmetry</t>
  </si>
  <si>
    <t>Use of the Rule of Thirds is consistent and effective</t>
  </si>
  <si>
    <t>There's no use of the rule of the thirds seen</t>
  </si>
  <si>
    <t>The rule of the thirds is present in at least one page</t>
  </si>
  <si>
    <t>Usage of complementary colors in order to give contrast to the content elements</t>
  </si>
  <si>
    <t>There is no use of complementary colors</t>
  </si>
  <si>
    <t>Complementary colors are used to give contrast to content elements</t>
  </si>
  <si>
    <t>AVA09 - Balanced use of visual weight</t>
  </si>
  <si>
    <t>Image, text and object weight are used effectively</t>
  </si>
  <si>
    <t>No page uses different text, image and object weights</t>
  </si>
  <si>
    <t>Some pages uses different text, image and object weights</t>
  </si>
  <si>
    <t>AV10 - High-quality and visually appealing elements</t>
  </si>
  <si>
    <t>Use of high-quality, visually appealing design elements</t>
  </si>
  <si>
    <t>Low-quality and visually unappealing design elements</t>
  </si>
  <si>
    <t>Use of high-quality, visually appealing design elements on some pages</t>
  </si>
  <si>
    <t>Organization Hierachy</t>
  </si>
  <si>
    <t>How effectively the website distinguishes between primary content and additional information for user clarity</t>
  </si>
  <si>
    <t>There is no clear distinction between main content and supplementary information.</t>
  </si>
  <si>
    <t>The distinction is reasonable but can be improved.</t>
  </si>
  <si>
    <t>The distinction is clear and effective.</t>
  </si>
  <si>
    <t>The degree to which important content is intuitively positioned for easy user access</t>
  </si>
  <si>
    <t>Important content is poorly positioned and difficult to find.</t>
  </si>
  <si>
    <t>Important content is reasonably intuitive but can be more refined.</t>
  </si>
  <si>
    <t>Important content is highly intuitively positioned.</t>
  </si>
  <si>
    <t>The website utilizes the concept of visual hierarchy and visual wheight to give the Users eyes through the website's pages content</t>
  </si>
  <si>
    <t>These concepts are not used</t>
  </si>
  <si>
    <t>These concepts are used but are not able to effectively convey the hierarchy of the elements</t>
  </si>
  <si>
    <t>These concepts are used and effectively convey the hierarchy of the elements</t>
  </si>
  <si>
    <t>Accessibility</t>
  </si>
  <si>
    <t>The font chosen for the website is legible to the user</t>
  </si>
  <si>
    <t>The font chosen is unreadable</t>
  </si>
  <si>
    <t xml:space="preserve">The font chosen is readable but not very clear </t>
  </si>
  <si>
    <t>The font chosen is clear and easy to read</t>
  </si>
  <si>
    <t>The font size chosen is the proper size allowing for readability (between 14 and 18 pts)</t>
  </si>
  <si>
    <t>The font size is smaller than 14 pts or bigger than 18 pts</t>
  </si>
  <si>
    <t>The font size is between 14 and 18 pts.</t>
  </si>
  <si>
    <t>AR03 - Use of serif and non-serif fonts according to the website style</t>
  </si>
  <si>
    <t>The use of serif and non-serif fonts should be in line with the website (e.g. using non-serif fonts in a modern website)</t>
  </si>
  <si>
    <t>The use of serif and non-serif fonts does not match the website's style</t>
  </si>
  <si>
    <t>The use of serif and non-serif fonts is misused in some areas of the website</t>
  </si>
  <si>
    <t>The use of serif and non-serif fonts is according to the website style</t>
  </si>
  <si>
    <t>The use of line spacing is adequate to the website making it easy to read. The line spacing has to be at least 1.5 the font size.</t>
  </si>
  <si>
    <t>There is a clear misuse of the line spacing through all of the website</t>
  </si>
  <si>
    <t>The use of line spacing is correct only in some parts of the website</t>
  </si>
  <si>
    <t>Line spacing is used correctly through all of the website and increases readability</t>
  </si>
  <si>
    <t>Lines have a proper length, not being too short or too long, of about 50-75 characters.</t>
  </si>
  <si>
    <t>All the lines of the website are too long or too short.</t>
  </si>
  <si>
    <t>Some lines of the website are either too long or too short</t>
  </si>
  <si>
    <t>All lines of the website have the proper length</t>
  </si>
  <si>
    <t>Bullet points and lists should be used everywhere they increase readability (e.g. when enumerating something)</t>
  </si>
  <si>
    <t>Bullet points or lists weren't used (this includes chapters)</t>
  </si>
  <si>
    <t>Bullet points or lists were used (this includes chapters/lessons)</t>
  </si>
  <si>
    <t>The color used on elements that are near each other (on either the foreground or background) takes into account their visibility to a colorblind person (different types of colorblindness should be taken into account)</t>
  </si>
  <si>
    <t>Because the colors seem/are identical from a colorblind person's standpoint, they cannot distinguish the various elements from each other</t>
  </si>
  <si>
    <t>Some of the website's elements are not distinguishable from each other to a colorblind person</t>
  </si>
  <si>
    <t>A colorblind person can easily distinguish the various elements found within the pages used in the website</t>
  </si>
  <si>
    <t>The color used on text elements that are near other elements such as graphics or images (on either the foreground or background) takes into account their visibility to a colorblind person (different types of colorblindness should be taken into account)</t>
  </si>
  <si>
    <t>Because the colors seem/are identical from a colorblind person's standpoint, they cannot distinguish the various text elements from other elements</t>
  </si>
  <si>
    <t>Some of the website's test elements are not distinguishable from each other to a colorblind person</t>
  </si>
  <si>
    <t>Buttons and other elements like hyperlinks should be highlighted either by a well-defined border or color even when not hoovered over</t>
  </si>
  <si>
    <t>Clickable elements are not highlighted by either border or color</t>
  </si>
  <si>
    <t>Not all clickable elements are highlighted by border or color</t>
  </si>
  <si>
    <t>All clickable elements are highlighted by border or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</si>
</sst>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9B5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6" borderId="6" xfId="0" applyFill="1" applyBorder="1"/>
    <xf numFmtId="0" fontId="4" fillId="5" borderId="6" xfId="0" applyFont="1" applyFill="1" applyBorder="1" applyAlignment="1">
      <alignment horizontal="center"/>
    </xf>
    <xf numFmtId="0" fontId="0" fillId="0" borderId="6" xfId="0" applyBorder="1"/>
    <xf numFmtId="0" fontId="4" fillId="5" borderId="6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6" xfId="0" applyFill="1" applyBorder="1"/>
    <xf numFmtId="0" fontId="0" fillId="7" borderId="6" xfId="0" applyFill="1" applyBorder="1"/>
    <xf numFmtId="0" fontId="4" fillId="5" borderId="6" xfId="0" applyFont="1" applyFill="1" applyBorder="1"/>
    <xf numFmtId="0" fontId="0" fillId="8" borderId="6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8" borderId="6" xfId="0" applyFill="1" applyBorder="1" applyAlignment="1">
      <alignment vertical="center" wrapText="1"/>
    </xf>
    <xf numFmtId="0" fontId="0" fillId="7" borderId="18" xfId="0" applyFill="1" applyBorder="1"/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6" xfId="0" applyFill="1" applyBorder="1" applyAlignment="1">
      <alignment wrapText="1"/>
    </xf>
    <xf numFmtId="0" fontId="0" fillId="12" borderId="6" xfId="0" applyFill="1" applyBorder="1"/>
    <xf numFmtId="0" fontId="0" fillId="13" borderId="6" xfId="0" applyFill="1" applyBorder="1"/>
    <xf numFmtId="0" fontId="0" fillId="14" borderId="6" xfId="0" applyFill="1" applyBorder="1"/>
    <xf numFmtId="0" fontId="0" fillId="15" borderId="6" xfId="0" applyFill="1" applyBorder="1"/>
    <xf numFmtId="0" fontId="0" fillId="16" borderId="7" xfId="0" applyFill="1" applyBorder="1"/>
    <xf numFmtId="0" fontId="0" fillId="16" borderId="6" xfId="0" applyFill="1" applyBorder="1"/>
    <xf numFmtId="0" fontId="0" fillId="17" borderId="7" xfId="0" applyFill="1" applyBorder="1"/>
    <xf numFmtId="0" fontId="0" fillId="17" borderId="6" xfId="0" applyFill="1" applyBorder="1"/>
    <xf numFmtId="0" fontId="0" fillId="20" borderId="7" xfId="0" applyFill="1" applyBorder="1"/>
    <xf numFmtId="0" fontId="0" fillId="20" borderId="6" xfId="0" applyFill="1" applyBorder="1"/>
    <xf numFmtId="0" fontId="0" fillId="20" borderId="1" xfId="0" applyFill="1" applyBorder="1"/>
    <xf numFmtId="0" fontId="0" fillId="20" borderId="4" xfId="0" applyFill="1" applyBorder="1"/>
    <xf numFmtId="0" fontId="0" fillId="9" borderId="6" xfId="0" applyFill="1" applyBorder="1" applyAlignment="1">
      <alignment horizontal="left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left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left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6" borderId="6" xfId="0" applyFill="1" applyBorder="1" applyAlignment="1">
      <alignment horizontal="left" vertical="center" wrapText="1"/>
    </xf>
    <xf numFmtId="0" fontId="0" fillId="16" borderId="10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left" vertical="center" wrapText="1"/>
    </xf>
    <xf numFmtId="0" fontId="0" fillId="20" borderId="6" xfId="0" applyFill="1" applyBorder="1" applyAlignment="1">
      <alignment horizontal="left" vertical="center" wrapText="1"/>
    </xf>
    <xf numFmtId="0" fontId="0" fillId="20" borderId="10" xfId="0" applyFill="1" applyBorder="1" applyAlignment="1">
      <alignment horizontal="left" vertical="center" wrapText="1"/>
    </xf>
    <xf numFmtId="0" fontId="0" fillId="20" borderId="6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12" borderId="19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9" fontId="0" fillId="3" borderId="14" xfId="1" applyFont="1" applyFill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Percentagem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3300"/>
      </font>
      <fill>
        <patternFill>
          <bgColor rgb="FFCC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C9B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115" zoomScaleNormal="115" workbookViewId="0">
      <selection activeCell="I8" sqref="I8"/>
    </sheetView>
  </sheetViews>
  <sheetFormatPr baseColWidth="10" defaultColWidth="8.83203125" defaultRowHeight="15" x14ac:dyDescent="0.2"/>
  <cols>
    <col min="2" max="2" width="21.1640625" customWidth="1"/>
    <col min="3" max="3" width="7.5" customWidth="1"/>
    <col min="4" max="4" width="12.5" bestFit="1" customWidth="1"/>
    <col min="5" max="5" width="9.1640625" customWidth="1"/>
    <col min="6" max="6" width="25.5" customWidth="1"/>
    <col min="7" max="7" width="25" bestFit="1" customWidth="1"/>
    <col min="8" max="8" width="18.33203125" customWidth="1"/>
    <col min="9" max="9" width="84" customWidth="1"/>
    <col min="10" max="10" width="20.5" customWidth="1"/>
    <col min="11" max="11" width="17.5" customWidth="1"/>
  </cols>
  <sheetData>
    <row r="1" spans="1:10" ht="4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">
      <c r="A2" s="90">
        <f>(LOG(1+C2/100)+LOG(1+C12/100)+LOG(1+C26/100)+LOG(1+C39/100))/(4*LOG(2))</f>
        <v>0.93994014047922092</v>
      </c>
      <c r="B2" s="92">
        <f>SQRT((1-C2/100)^2+(1-C12/100)^2+(1-C26/100)^2+(1-C39/100)^2)</f>
        <v>0.21065217186635682</v>
      </c>
      <c r="C2" s="81">
        <f>SUMPRODUCT(E2:E11,F2:F11)</f>
        <v>96.25</v>
      </c>
      <c r="D2" s="81" t="s">
        <v>10</v>
      </c>
      <c r="E2" s="86">
        <f>(1/(SUM(H2:H6)))*SUMPRODUCT(H2:H6,J2:J6)</f>
        <v>100</v>
      </c>
      <c r="F2" s="84">
        <f>COUNT(H2:H6)/COUNT(H2:H11)</f>
        <v>0.5</v>
      </c>
      <c r="G2" s="89" t="s">
        <v>11</v>
      </c>
      <c r="H2" s="29">
        <v>2</v>
      </c>
      <c r="I2" s="29" t="s">
        <v>12</v>
      </c>
      <c r="J2" s="23">
        <v>100</v>
      </c>
    </row>
    <row r="3" spans="1:10" x14ac:dyDescent="0.2">
      <c r="A3" s="91"/>
      <c r="B3" s="93"/>
      <c r="C3" s="82"/>
      <c r="D3" s="82"/>
      <c r="E3" s="84"/>
      <c r="F3" s="84"/>
      <c r="G3" s="84"/>
      <c r="H3" s="29">
        <v>10</v>
      </c>
      <c r="I3" s="29" t="s">
        <v>13</v>
      </c>
      <c r="J3" s="23">
        <v>100</v>
      </c>
    </row>
    <row r="4" spans="1:10" x14ac:dyDescent="0.2">
      <c r="A4" s="91"/>
      <c r="B4" s="93"/>
      <c r="C4" s="82"/>
      <c r="D4" s="82"/>
      <c r="E4" s="84"/>
      <c r="F4" s="84"/>
      <c r="G4" s="84"/>
      <c r="H4" s="29">
        <v>6</v>
      </c>
      <c r="I4" s="29" t="s">
        <v>14</v>
      </c>
      <c r="J4" s="23">
        <v>100</v>
      </c>
    </row>
    <row r="5" spans="1:10" x14ac:dyDescent="0.2">
      <c r="A5" s="91"/>
      <c r="B5" s="93"/>
      <c r="C5" s="82"/>
      <c r="D5" s="82"/>
      <c r="E5" s="84"/>
      <c r="F5" s="84"/>
      <c r="G5" s="84"/>
      <c r="H5" s="29">
        <v>6</v>
      </c>
      <c r="I5" s="29" t="s">
        <v>15</v>
      </c>
      <c r="J5" s="23">
        <v>100</v>
      </c>
    </row>
    <row r="6" spans="1:10" x14ac:dyDescent="0.2">
      <c r="A6" s="91"/>
      <c r="B6" s="93"/>
      <c r="C6" s="82"/>
      <c r="D6" s="82"/>
      <c r="E6" s="85"/>
      <c r="F6" s="85"/>
      <c r="G6" s="85"/>
      <c r="H6" s="29">
        <v>9</v>
      </c>
      <c r="I6" s="29" t="s">
        <v>16</v>
      </c>
      <c r="J6" s="23">
        <v>100</v>
      </c>
    </row>
    <row r="7" spans="1:10" ht="16" x14ac:dyDescent="0.2">
      <c r="A7" s="91"/>
      <c r="B7" s="93"/>
      <c r="C7" s="82"/>
      <c r="D7" s="82"/>
      <c r="E7" s="87">
        <f>(1/(SUM(H7:H8)))*SUMPRODUCT(H7:H8,J7:J8)</f>
        <v>100</v>
      </c>
      <c r="F7" s="87">
        <f>COUNT(H7:H8)/COUNT(H2:H11)</f>
        <v>0.2</v>
      </c>
      <c r="G7" s="87" t="s">
        <v>17</v>
      </c>
      <c r="H7" s="38">
        <v>10</v>
      </c>
      <c r="I7" s="39" t="s">
        <v>18</v>
      </c>
      <c r="J7" s="23">
        <v>100</v>
      </c>
    </row>
    <row r="8" spans="1:10" x14ac:dyDescent="0.2">
      <c r="A8" s="91"/>
      <c r="B8" s="93"/>
      <c r="C8" s="82"/>
      <c r="D8" s="82"/>
      <c r="E8" s="88"/>
      <c r="F8" s="88"/>
      <c r="G8" s="88"/>
      <c r="H8" s="38">
        <v>4</v>
      </c>
      <c r="I8" s="38" t="s">
        <v>19</v>
      </c>
      <c r="J8" s="23">
        <v>100</v>
      </c>
    </row>
    <row r="9" spans="1:10" x14ac:dyDescent="0.2">
      <c r="A9" s="91"/>
      <c r="B9" s="93"/>
      <c r="C9" s="82"/>
      <c r="D9" s="82"/>
      <c r="E9" s="78">
        <f>(1/(SUM(H9:H11)))*SUMPRODUCT(H9:H11,J9:J11)</f>
        <v>87.5</v>
      </c>
      <c r="F9" s="78">
        <f>COUNT(H9:H11)/COUNT(H2:H11)</f>
        <v>0.3</v>
      </c>
      <c r="G9" s="78" t="s">
        <v>20</v>
      </c>
      <c r="H9" s="30">
        <v>6</v>
      </c>
      <c r="I9" s="30" t="s">
        <v>21</v>
      </c>
      <c r="J9" s="23">
        <v>50</v>
      </c>
    </row>
    <row r="10" spans="1:10" x14ac:dyDescent="0.2">
      <c r="A10" s="91"/>
      <c r="B10" s="93"/>
      <c r="C10" s="82"/>
      <c r="D10" s="82"/>
      <c r="E10" s="79"/>
      <c r="F10" s="79"/>
      <c r="G10" s="79"/>
      <c r="H10" s="30">
        <v>8</v>
      </c>
      <c r="I10" s="30" t="s">
        <v>22</v>
      </c>
      <c r="J10" s="23">
        <v>100</v>
      </c>
    </row>
    <row r="11" spans="1:10" ht="16" thickBot="1" x14ac:dyDescent="0.25">
      <c r="A11" s="91"/>
      <c r="B11" s="93"/>
      <c r="C11" s="83"/>
      <c r="D11" s="82"/>
      <c r="E11" s="80"/>
      <c r="F11" s="80"/>
      <c r="G11" s="80"/>
      <c r="H11" s="35">
        <v>10</v>
      </c>
      <c r="I11" s="35" t="s">
        <v>23</v>
      </c>
      <c r="J11" s="23">
        <v>100</v>
      </c>
    </row>
    <row r="12" spans="1:10" x14ac:dyDescent="0.2">
      <c r="A12" s="91"/>
      <c r="B12" s="93"/>
      <c r="C12" s="94">
        <f>SUMPRODUCT(E12:E25,F12:F25)</f>
        <v>82.142857142857139</v>
      </c>
      <c r="D12" s="97" t="s">
        <v>24</v>
      </c>
      <c r="E12" s="67">
        <f>(1/(SUM(H12:H13)))*SUMPRODUCT(H12:H13,J12:J13)</f>
        <v>50</v>
      </c>
      <c r="F12" s="67">
        <f>COUNT(H12:H13)/COUNT(H12:H25)</f>
        <v>0.14285714285714285</v>
      </c>
      <c r="G12" s="67" t="s">
        <v>25</v>
      </c>
      <c r="H12" s="40">
        <v>10</v>
      </c>
      <c r="I12" s="40" t="s">
        <v>26</v>
      </c>
      <c r="J12" s="23">
        <v>50</v>
      </c>
    </row>
    <row r="13" spans="1:10" x14ac:dyDescent="0.2">
      <c r="A13" s="91"/>
      <c r="B13" s="93"/>
      <c r="C13" s="95"/>
      <c r="D13" s="98"/>
      <c r="E13" s="68"/>
      <c r="F13" s="68"/>
      <c r="G13" s="68"/>
      <c r="H13" s="40">
        <v>9</v>
      </c>
      <c r="I13" s="40" t="s">
        <v>27</v>
      </c>
      <c r="J13" s="23">
        <v>50</v>
      </c>
    </row>
    <row r="14" spans="1:10" x14ac:dyDescent="0.2">
      <c r="A14" s="91"/>
      <c r="B14" s="93"/>
      <c r="C14" s="95"/>
      <c r="D14" s="98"/>
      <c r="E14" s="69">
        <f>(1/(SUM(H14:H16)))*SUMPRODUCT(H14:H16,J14:J16)</f>
        <v>66.666666666666671</v>
      </c>
      <c r="F14" s="69">
        <f>COUNT(H14:H16)/COUNT(H12:H25)</f>
        <v>0.21428571428571427</v>
      </c>
      <c r="G14" s="69" t="s">
        <v>28</v>
      </c>
      <c r="H14" s="41">
        <v>10</v>
      </c>
      <c r="I14" s="41" t="s">
        <v>29</v>
      </c>
      <c r="J14" s="23">
        <v>100</v>
      </c>
    </row>
    <row r="15" spans="1:10" x14ac:dyDescent="0.2">
      <c r="A15" s="91"/>
      <c r="B15" s="93"/>
      <c r="C15" s="95"/>
      <c r="D15" s="98"/>
      <c r="E15" s="70"/>
      <c r="F15" s="70"/>
      <c r="G15" s="70"/>
      <c r="H15" s="41">
        <v>10</v>
      </c>
      <c r="I15" s="41" t="s">
        <v>30</v>
      </c>
      <c r="J15" s="23">
        <v>100</v>
      </c>
    </row>
    <row r="16" spans="1:10" x14ac:dyDescent="0.2">
      <c r="A16" s="91"/>
      <c r="B16" s="93"/>
      <c r="C16" s="95"/>
      <c r="D16" s="98"/>
      <c r="E16" s="71"/>
      <c r="F16" s="71"/>
      <c r="G16" s="71"/>
      <c r="H16" s="41">
        <v>10</v>
      </c>
      <c r="I16" s="41" t="s">
        <v>31</v>
      </c>
      <c r="J16" s="23">
        <v>0</v>
      </c>
    </row>
    <row r="17" spans="1:10" x14ac:dyDescent="0.2">
      <c r="A17" s="91"/>
      <c r="B17" s="93"/>
      <c r="C17" s="95"/>
      <c r="D17" s="98"/>
      <c r="E17" s="72">
        <f>(1/(SUM(H17:H22)))*SUMPRODUCT(H17:H22,J17:J22)</f>
        <v>100</v>
      </c>
      <c r="F17" s="72">
        <f>COUNT(H17:H22)/COUNT(H12:H25)</f>
        <v>0.42857142857142855</v>
      </c>
      <c r="G17" s="72" t="s">
        <v>32</v>
      </c>
      <c r="H17" s="42">
        <v>10</v>
      </c>
      <c r="I17" s="42" t="s">
        <v>33</v>
      </c>
      <c r="J17" s="23">
        <v>100</v>
      </c>
    </row>
    <row r="18" spans="1:10" x14ac:dyDescent="0.2">
      <c r="A18" s="91"/>
      <c r="B18" s="93"/>
      <c r="C18" s="95"/>
      <c r="D18" s="98"/>
      <c r="E18" s="73"/>
      <c r="F18" s="73"/>
      <c r="G18" s="73"/>
      <c r="H18" s="42">
        <v>10</v>
      </c>
      <c r="I18" s="42" t="s">
        <v>34</v>
      </c>
      <c r="J18" s="23">
        <v>100</v>
      </c>
    </row>
    <row r="19" spans="1:10" x14ac:dyDescent="0.2">
      <c r="A19" s="91"/>
      <c r="B19" s="93"/>
      <c r="C19" s="95"/>
      <c r="D19" s="98"/>
      <c r="E19" s="73"/>
      <c r="F19" s="73"/>
      <c r="G19" s="73"/>
      <c r="H19" s="42">
        <v>10</v>
      </c>
      <c r="I19" s="42" t="s">
        <v>35</v>
      </c>
      <c r="J19" s="23">
        <v>100</v>
      </c>
    </row>
    <row r="20" spans="1:10" x14ac:dyDescent="0.2">
      <c r="A20" s="91"/>
      <c r="B20" s="93"/>
      <c r="C20" s="95"/>
      <c r="D20" s="98"/>
      <c r="E20" s="73"/>
      <c r="F20" s="73"/>
      <c r="G20" s="73"/>
      <c r="H20" s="42">
        <v>10</v>
      </c>
      <c r="I20" s="42" t="s">
        <v>36</v>
      </c>
      <c r="J20" s="23">
        <v>100</v>
      </c>
    </row>
    <row r="21" spans="1:10" x14ac:dyDescent="0.2">
      <c r="A21" s="91"/>
      <c r="B21" s="93"/>
      <c r="C21" s="95"/>
      <c r="D21" s="98"/>
      <c r="E21" s="73"/>
      <c r="F21" s="73"/>
      <c r="G21" s="73"/>
      <c r="H21" s="42">
        <v>10</v>
      </c>
      <c r="I21" s="42" t="s">
        <v>37</v>
      </c>
      <c r="J21" s="23">
        <v>100</v>
      </c>
    </row>
    <row r="22" spans="1:10" x14ac:dyDescent="0.2">
      <c r="A22" s="91"/>
      <c r="B22" s="93"/>
      <c r="C22" s="95"/>
      <c r="D22" s="98"/>
      <c r="E22" s="74"/>
      <c r="F22" s="74"/>
      <c r="G22" s="74"/>
      <c r="H22" s="42">
        <v>8</v>
      </c>
      <c r="I22" s="42" t="s">
        <v>38</v>
      </c>
      <c r="J22" s="23">
        <v>100</v>
      </c>
    </row>
    <row r="23" spans="1:10" x14ac:dyDescent="0.2">
      <c r="A23" s="91"/>
      <c r="B23" s="93"/>
      <c r="C23" s="95"/>
      <c r="D23" s="98"/>
      <c r="E23" s="75">
        <f>(1/(SUM(H23:H25)))*SUMPRODUCT(H23:H25,J23:J25)</f>
        <v>83.333333333333329</v>
      </c>
      <c r="F23" s="75">
        <f>COUNT(H23:H25)/COUNT(H12:H25)</f>
        <v>0.21428571428571427</v>
      </c>
      <c r="G23" s="75" t="s">
        <v>39</v>
      </c>
      <c r="H23" s="43">
        <v>8</v>
      </c>
      <c r="I23" s="43" t="s">
        <v>40</v>
      </c>
      <c r="J23" s="23">
        <v>100</v>
      </c>
    </row>
    <row r="24" spans="1:10" x14ac:dyDescent="0.2">
      <c r="A24" s="91"/>
      <c r="B24" s="93"/>
      <c r="C24" s="95"/>
      <c r="D24" s="98"/>
      <c r="E24" s="76"/>
      <c r="F24" s="76"/>
      <c r="G24" s="76"/>
      <c r="H24" s="43">
        <v>8</v>
      </c>
      <c r="I24" s="43" t="s">
        <v>41</v>
      </c>
      <c r="J24" s="23">
        <v>100</v>
      </c>
    </row>
    <row r="25" spans="1:10" x14ac:dyDescent="0.2">
      <c r="A25" s="91"/>
      <c r="B25" s="93"/>
      <c r="C25" s="96"/>
      <c r="D25" s="99"/>
      <c r="E25" s="77"/>
      <c r="F25" s="77"/>
      <c r="G25" s="77"/>
      <c r="H25" s="43">
        <v>8</v>
      </c>
      <c r="I25" s="43" t="s">
        <v>42</v>
      </c>
      <c r="J25" s="23">
        <v>50</v>
      </c>
    </row>
    <row r="26" spans="1:10" x14ac:dyDescent="0.2">
      <c r="A26" s="91"/>
      <c r="B26" s="93"/>
      <c r="C26" s="100">
        <f>SUMPRODUCT(E26:E38,F26:F38)</f>
        <v>100.00000000000001</v>
      </c>
      <c r="D26" s="100" t="s">
        <v>43</v>
      </c>
      <c r="E26" s="112">
        <f>(1/(SUM(H26:H35)))*SUMPRODUCT(H26:H35,J26:J35)</f>
        <v>100</v>
      </c>
      <c r="F26" s="112">
        <f>COUNT(H26:H35)/COUNT(H26:H38)</f>
        <v>0.76923076923076927</v>
      </c>
      <c r="G26" s="110" t="s">
        <v>44</v>
      </c>
      <c r="H26" s="44">
        <v>10</v>
      </c>
      <c r="I26" s="45" t="s">
        <v>45</v>
      </c>
      <c r="J26" s="23">
        <v>100</v>
      </c>
    </row>
    <row r="27" spans="1:10" x14ac:dyDescent="0.2">
      <c r="A27" s="91"/>
      <c r="B27" s="93"/>
      <c r="C27" s="101"/>
      <c r="D27" s="101"/>
      <c r="E27" s="113"/>
      <c r="F27" s="113"/>
      <c r="G27" s="111"/>
      <c r="H27" s="44">
        <v>10</v>
      </c>
      <c r="I27" s="45" t="s">
        <v>46</v>
      </c>
      <c r="J27" s="23">
        <v>100</v>
      </c>
    </row>
    <row r="28" spans="1:10" x14ac:dyDescent="0.2">
      <c r="A28" s="91"/>
      <c r="B28" s="93"/>
      <c r="C28" s="101"/>
      <c r="D28" s="101"/>
      <c r="E28" s="113"/>
      <c r="F28" s="113"/>
      <c r="G28" s="111"/>
      <c r="H28" s="44">
        <v>10</v>
      </c>
      <c r="I28" s="45" t="s">
        <v>47</v>
      </c>
      <c r="J28" s="23">
        <v>100</v>
      </c>
    </row>
    <row r="29" spans="1:10" x14ac:dyDescent="0.2">
      <c r="A29" s="91"/>
      <c r="B29" s="93"/>
      <c r="C29" s="101"/>
      <c r="D29" s="101"/>
      <c r="E29" s="113"/>
      <c r="F29" s="113"/>
      <c r="G29" s="111"/>
      <c r="H29" s="44">
        <v>10</v>
      </c>
      <c r="I29" s="45" t="s">
        <v>48</v>
      </c>
      <c r="J29" s="23">
        <v>100</v>
      </c>
    </row>
    <row r="30" spans="1:10" x14ac:dyDescent="0.2">
      <c r="A30" s="91"/>
      <c r="B30" s="93"/>
      <c r="C30" s="101"/>
      <c r="D30" s="101"/>
      <c r="E30" s="113"/>
      <c r="F30" s="113"/>
      <c r="G30" s="111"/>
      <c r="H30" s="44">
        <v>10</v>
      </c>
      <c r="I30" s="45" t="s">
        <v>49</v>
      </c>
      <c r="J30" s="23">
        <v>100</v>
      </c>
    </row>
    <row r="31" spans="1:10" x14ac:dyDescent="0.2">
      <c r="A31" s="91"/>
      <c r="B31" s="93"/>
      <c r="C31" s="101"/>
      <c r="D31" s="101"/>
      <c r="E31" s="113"/>
      <c r="F31" s="113"/>
      <c r="G31" s="111"/>
      <c r="H31" s="44">
        <v>10</v>
      </c>
      <c r="I31" s="45" t="s">
        <v>50</v>
      </c>
      <c r="J31" s="23">
        <v>100</v>
      </c>
    </row>
    <row r="32" spans="1:10" x14ac:dyDescent="0.2">
      <c r="A32" s="91"/>
      <c r="B32" s="93"/>
      <c r="C32" s="101"/>
      <c r="D32" s="101"/>
      <c r="E32" s="113"/>
      <c r="F32" s="113"/>
      <c r="G32" s="111"/>
      <c r="H32" s="44">
        <v>10</v>
      </c>
      <c r="I32" s="45" t="s">
        <v>51</v>
      </c>
      <c r="J32" s="23">
        <v>100</v>
      </c>
    </row>
    <row r="33" spans="1:10" x14ac:dyDescent="0.2">
      <c r="A33" s="91"/>
      <c r="B33" s="93"/>
      <c r="C33" s="101"/>
      <c r="D33" s="101"/>
      <c r="E33" s="113"/>
      <c r="F33" s="113"/>
      <c r="G33" s="111"/>
      <c r="H33" s="44">
        <v>10</v>
      </c>
      <c r="I33" s="45" t="s">
        <v>52</v>
      </c>
      <c r="J33" s="23">
        <v>100</v>
      </c>
    </row>
    <row r="34" spans="1:10" x14ac:dyDescent="0.2">
      <c r="A34" s="91"/>
      <c r="B34" s="93"/>
      <c r="C34" s="101"/>
      <c r="D34" s="101"/>
      <c r="E34" s="113"/>
      <c r="F34" s="113"/>
      <c r="G34" s="111"/>
      <c r="H34" s="45">
        <v>10</v>
      </c>
      <c r="I34" s="45" t="s">
        <v>53</v>
      </c>
      <c r="J34" s="23">
        <v>100</v>
      </c>
    </row>
    <row r="35" spans="1:10" x14ac:dyDescent="0.2">
      <c r="A35" s="91"/>
      <c r="B35" s="93"/>
      <c r="C35" s="101"/>
      <c r="D35" s="101"/>
      <c r="E35" s="113"/>
      <c r="F35" s="113"/>
      <c r="G35" s="111"/>
      <c r="H35" s="45">
        <v>10</v>
      </c>
      <c r="I35" s="45" t="s">
        <v>54</v>
      </c>
      <c r="J35" s="23">
        <v>100</v>
      </c>
    </row>
    <row r="36" spans="1:10" x14ac:dyDescent="0.2">
      <c r="A36" s="91"/>
      <c r="B36" s="93"/>
      <c r="C36" s="101"/>
      <c r="D36" s="101"/>
      <c r="E36" s="114">
        <f>(1/(SUM(H36:H38)))*SUMPRODUCT(H36:H38,J36:J38)</f>
        <v>100</v>
      </c>
      <c r="F36" s="114">
        <f>COUNT(H36:H38)/COUNT(H26:H38)</f>
        <v>0.23076923076923078</v>
      </c>
      <c r="G36" s="116" t="s">
        <v>55</v>
      </c>
      <c r="H36" s="46">
        <v>8</v>
      </c>
      <c r="I36" s="47" t="s">
        <v>56</v>
      </c>
      <c r="J36" s="23">
        <v>100</v>
      </c>
    </row>
    <row r="37" spans="1:10" ht="15.75" customHeight="1" x14ac:dyDescent="0.2">
      <c r="A37" s="91"/>
      <c r="B37" s="93"/>
      <c r="C37" s="101"/>
      <c r="D37" s="101"/>
      <c r="E37" s="115"/>
      <c r="F37" s="115"/>
      <c r="G37" s="117"/>
      <c r="H37" s="46">
        <v>8</v>
      </c>
      <c r="I37" s="47" t="s">
        <v>57</v>
      </c>
      <c r="J37" s="23">
        <v>100</v>
      </c>
    </row>
    <row r="38" spans="1:10" x14ac:dyDescent="0.2">
      <c r="A38" s="91"/>
      <c r="B38" s="93"/>
      <c r="C38" s="101"/>
      <c r="D38" s="101"/>
      <c r="E38" s="115"/>
      <c r="F38" s="115"/>
      <c r="G38" s="117"/>
      <c r="H38" s="46">
        <v>10</v>
      </c>
      <c r="I38" s="47" t="s">
        <v>58</v>
      </c>
      <c r="J38" s="23">
        <v>100</v>
      </c>
    </row>
    <row r="39" spans="1:10" x14ac:dyDescent="0.2">
      <c r="A39" s="91"/>
      <c r="B39" s="93"/>
      <c r="C39" s="102">
        <f>SUMPRODUCT(E39,F39)</f>
        <v>89.473684210526315</v>
      </c>
      <c r="D39" s="105" t="s">
        <v>59</v>
      </c>
      <c r="E39" s="107">
        <f>(1/(SUM(H39:H47)))*SUMPRODUCT(H39:H47,J39:J47)</f>
        <v>89.473684210526315</v>
      </c>
      <c r="F39" s="107">
        <f>COUNT(H39:H47)/COUNT(H39:H47)</f>
        <v>1</v>
      </c>
      <c r="G39" s="107" t="s">
        <v>60</v>
      </c>
      <c r="H39" s="48">
        <v>10</v>
      </c>
      <c r="I39" s="49" t="s">
        <v>61</v>
      </c>
      <c r="J39" s="23">
        <v>100</v>
      </c>
    </row>
    <row r="40" spans="1:10" x14ac:dyDescent="0.2">
      <c r="A40" s="91"/>
      <c r="B40" s="93"/>
      <c r="C40" s="103"/>
      <c r="D40" s="106"/>
      <c r="E40" s="108"/>
      <c r="F40" s="108"/>
      <c r="G40" s="108"/>
      <c r="H40" s="48">
        <v>10</v>
      </c>
      <c r="I40" s="49" t="s">
        <v>62</v>
      </c>
      <c r="J40" s="23">
        <v>100</v>
      </c>
    </row>
    <row r="41" spans="1:10" x14ac:dyDescent="0.2">
      <c r="A41" s="91"/>
      <c r="B41" s="93"/>
      <c r="C41" s="103"/>
      <c r="D41" s="106"/>
      <c r="E41" s="108"/>
      <c r="F41" s="108"/>
      <c r="G41" s="108"/>
      <c r="H41" s="48">
        <v>10</v>
      </c>
      <c r="I41" s="49" t="s">
        <v>63</v>
      </c>
      <c r="J41" s="23">
        <v>100</v>
      </c>
    </row>
    <row r="42" spans="1:10" x14ac:dyDescent="0.2">
      <c r="A42" s="91"/>
      <c r="B42" s="93"/>
      <c r="C42" s="103"/>
      <c r="D42" s="106"/>
      <c r="E42" s="108"/>
      <c r="F42" s="108"/>
      <c r="G42" s="108"/>
      <c r="H42" s="48">
        <v>8</v>
      </c>
      <c r="I42" s="49" t="s">
        <v>64</v>
      </c>
      <c r="J42" s="23">
        <v>100</v>
      </c>
    </row>
    <row r="43" spans="1:10" x14ac:dyDescent="0.2">
      <c r="A43" s="91"/>
      <c r="B43" s="93"/>
      <c r="C43" s="103"/>
      <c r="D43" s="106"/>
      <c r="E43" s="108"/>
      <c r="F43" s="108"/>
      <c r="G43" s="108"/>
      <c r="H43" s="48">
        <v>6</v>
      </c>
      <c r="I43" s="49" t="s">
        <v>65</v>
      </c>
      <c r="J43" s="23">
        <v>100</v>
      </c>
    </row>
    <row r="44" spans="1:10" x14ac:dyDescent="0.2">
      <c r="A44" s="91"/>
      <c r="B44" s="93"/>
      <c r="C44" s="103"/>
      <c r="D44" s="106"/>
      <c r="E44" s="108"/>
      <c r="F44" s="108"/>
      <c r="G44" s="108"/>
      <c r="H44" s="48">
        <v>6</v>
      </c>
      <c r="I44" s="49" t="s">
        <v>66</v>
      </c>
      <c r="J44" s="23">
        <v>100</v>
      </c>
    </row>
    <row r="45" spans="1:10" x14ac:dyDescent="0.2">
      <c r="A45" s="91"/>
      <c r="B45" s="93"/>
      <c r="C45" s="103"/>
      <c r="D45" s="103"/>
      <c r="E45" s="108"/>
      <c r="F45" s="108"/>
      <c r="G45" s="108"/>
      <c r="H45" s="50">
        <v>8</v>
      </c>
      <c r="I45" s="49" t="s">
        <v>67</v>
      </c>
      <c r="J45" s="23">
        <v>0</v>
      </c>
    </row>
    <row r="46" spans="1:10" x14ac:dyDescent="0.2">
      <c r="A46" s="91"/>
      <c r="B46" s="93"/>
      <c r="C46" s="103"/>
      <c r="D46" s="103"/>
      <c r="E46" s="108"/>
      <c r="F46" s="108"/>
      <c r="G46" s="108"/>
      <c r="H46" s="49">
        <v>8</v>
      </c>
      <c r="I46" s="48" t="s">
        <v>68</v>
      </c>
      <c r="J46" s="23">
        <v>100</v>
      </c>
    </row>
    <row r="47" spans="1:10" x14ac:dyDescent="0.2">
      <c r="A47" s="91"/>
      <c r="B47" s="93"/>
      <c r="C47" s="104"/>
      <c r="D47" s="104"/>
      <c r="E47" s="109"/>
      <c r="F47" s="109"/>
      <c r="G47" s="109"/>
      <c r="H47" s="51">
        <v>10</v>
      </c>
      <c r="I47" s="49" t="s">
        <v>69</v>
      </c>
      <c r="J47" s="23">
        <v>100</v>
      </c>
    </row>
  </sheetData>
  <mergeCells count="40">
    <mergeCell ref="G39:G47"/>
    <mergeCell ref="F39:F47"/>
    <mergeCell ref="E39:E47"/>
    <mergeCell ref="G26:G35"/>
    <mergeCell ref="F26:F35"/>
    <mergeCell ref="E26:E35"/>
    <mergeCell ref="E36:E38"/>
    <mergeCell ref="F36:F38"/>
    <mergeCell ref="G36:G38"/>
    <mergeCell ref="A2:A47"/>
    <mergeCell ref="B2:B47"/>
    <mergeCell ref="C12:C25"/>
    <mergeCell ref="D12:D25"/>
    <mergeCell ref="E12:E13"/>
    <mergeCell ref="E14:E16"/>
    <mergeCell ref="E17:E22"/>
    <mergeCell ref="E23:E25"/>
    <mergeCell ref="D26:D38"/>
    <mergeCell ref="C26:C38"/>
    <mergeCell ref="C39:C47"/>
    <mergeCell ref="D39:D47"/>
    <mergeCell ref="E9:E11"/>
    <mergeCell ref="F9:F11"/>
    <mergeCell ref="G9:G11"/>
    <mergeCell ref="C2:C11"/>
    <mergeCell ref="D2:D11"/>
    <mergeCell ref="F2:F6"/>
    <mergeCell ref="E2:E6"/>
    <mergeCell ref="E7:E8"/>
    <mergeCell ref="F7:F8"/>
    <mergeCell ref="G2:G6"/>
    <mergeCell ref="G7:G8"/>
    <mergeCell ref="F12:F13"/>
    <mergeCell ref="F14:F16"/>
    <mergeCell ref="F17:F22"/>
    <mergeCell ref="F23:F25"/>
    <mergeCell ref="G14:G16"/>
    <mergeCell ref="G12:G13"/>
    <mergeCell ref="G17:G22"/>
    <mergeCell ref="G23:G25"/>
  </mergeCells>
  <conditionalFormatting sqref="A2">
    <cfRule type="cellIs" dxfId="8" priority="21" operator="between">
      <formula>0</formula>
      <formula>0.25</formula>
    </cfRule>
    <cfRule type="cellIs" dxfId="7" priority="22" operator="between">
      <formula>0.25</formula>
      <formula>0.5</formula>
    </cfRule>
    <cfRule type="cellIs" dxfId="6" priority="23" operator="between">
      <formula>0.5</formula>
      <formula>0.65</formula>
    </cfRule>
    <cfRule type="cellIs" dxfId="5" priority="24" operator="between">
      <formula>0.65</formula>
      <formula>1</formula>
    </cfRule>
  </conditionalFormatting>
  <conditionalFormatting sqref="J2:J47">
    <cfRule type="cellIs" dxfId="4" priority="16" operator="equal">
      <formula>0</formula>
    </cfRule>
    <cfRule type="cellIs" dxfId="3" priority="17" operator="equal">
      <formula>25</formula>
    </cfRule>
    <cfRule type="cellIs" dxfId="2" priority="18" operator="equal">
      <formula>50</formula>
    </cfRule>
    <cfRule type="cellIs" dxfId="1" priority="19" operator="equal">
      <formula>75</formula>
    </cfRule>
    <cfRule type="cellIs" dxfId="0" priority="20" operator="equal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21A1-628A-4F4B-A26A-B80E16099262}">
  <dimension ref="A1:G28"/>
  <sheetViews>
    <sheetView workbookViewId="0">
      <selection activeCell="B18" sqref="B18"/>
    </sheetView>
  </sheetViews>
  <sheetFormatPr baseColWidth="10" defaultColWidth="8.83203125" defaultRowHeight="15" x14ac:dyDescent="0.2"/>
  <cols>
    <col min="1" max="7" width="27.1640625" customWidth="1"/>
  </cols>
  <sheetData>
    <row r="1" spans="1:7" x14ac:dyDescent="0.2">
      <c r="A1" s="31" t="s">
        <v>3</v>
      </c>
      <c r="B1" s="25" t="s">
        <v>10</v>
      </c>
    </row>
    <row r="2" spans="1:7" x14ac:dyDescent="0.2">
      <c r="A2" s="31" t="s">
        <v>6</v>
      </c>
      <c r="B2" s="25" t="s">
        <v>11</v>
      </c>
    </row>
    <row r="4" spans="1:7" x14ac:dyDescent="0.2">
      <c r="C4" s="118" t="s">
        <v>70</v>
      </c>
      <c r="D4" s="118"/>
      <c r="E4" s="118"/>
      <c r="F4" s="118"/>
      <c r="G4" s="118"/>
    </row>
    <row r="5" spans="1:7" x14ac:dyDescent="0.2">
      <c r="A5" s="24" t="s">
        <v>8</v>
      </c>
      <c r="B5" s="24" t="s">
        <v>71</v>
      </c>
      <c r="C5" s="24">
        <v>0</v>
      </c>
      <c r="D5" s="24">
        <v>25</v>
      </c>
      <c r="E5" s="24">
        <v>50</v>
      </c>
      <c r="F5" s="24">
        <v>75</v>
      </c>
      <c r="G5" s="24">
        <v>100</v>
      </c>
    </row>
    <row r="6" spans="1:7" ht="48" x14ac:dyDescent="0.2">
      <c r="A6" s="32" t="s">
        <v>12</v>
      </c>
      <c r="B6" s="12" t="s">
        <v>72</v>
      </c>
      <c r="C6" s="13" t="s">
        <v>73</v>
      </c>
      <c r="D6" s="13"/>
      <c r="E6" s="13"/>
      <c r="F6" s="13"/>
      <c r="G6" s="13" t="s">
        <v>74</v>
      </c>
    </row>
    <row r="7" spans="1:7" ht="48" x14ac:dyDescent="0.2">
      <c r="A7" s="33" t="s">
        <v>13</v>
      </c>
      <c r="B7" s="15" t="s">
        <v>75</v>
      </c>
      <c r="C7" s="14" t="s">
        <v>76</v>
      </c>
      <c r="D7" s="14"/>
      <c r="E7" s="14" t="s">
        <v>77</v>
      </c>
      <c r="F7" s="14"/>
      <c r="G7" s="14" t="s">
        <v>78</v>
      </c>
    </row>
    <row r="8" spans="1:7" ht="48" x14ac:dyDescent="0.2">
      <c r="A8" s="34" t="s">
        <v>14</v>
      </c>
      <c r="B8" s="15" t="s">
        <v>79</v>
      </c>
      <c r="C8" s="14" t="s">
        <v>80</v>
      </c>
      <c r="D8" s="14" t="s">
        <v>81</v>
      </c>
      <c r="E8" s="14" t="s">
        <v>82</v>
      </c>
      <c r="F8" s="14" t="s">
        <v>83</v>
      </c>
      <c r="G8" s="14" t="s">
        <v>84</v>
      </c>
    </row>
    <row r="9" spans="1:7" ht="168" customHeight="1" x14ac:dyDescent="0.2">
      <c r="A9" s="34" t="s">
        <v>15</v>
      </c>
      <c r="B9" s="15" t="s">
        <v>85</v>
      </c>
      <c r="C9" s="14" t="s">
        <v>86</v>
      </c>
      <c r="D9" s="14"/>
      <c r="E9" s="14" t="s">
        <v>87</v>
      </c>
      <c r="F9" s="14"/>
      <c r="G9" s="14" t="s">
        <v>88</v>
      </c>
    </row>
    <row r="10" spans="1:7" ht="32" x14ac:dyDescent="0.2">
      <c r="A10" s="33" t="s">
        <v>89</v>
      </c>
      <c r="B10" s="15" t="s">
        <v>90</v>
      </c>
      <c r="C10" s="14" t="s">
        <v>91</v>
      </c>
      <c r="D10" s="14"/>
      <c r="E10" s="14"/>
      <c r="F10" s="14"/>
      <c r="G10" s="14" t="s">
        <v>92</v>
      </c>
    </row>
    <row r="13" spans="1:7" x14ac:dyDescent="0.2">
      <c r="A13" s="31" t="s">
        <v>6</v>
      </c>
      <c r="B13" s="25" t="s">
        <v>17</v>
      </c>
    </row>
    <row r="15" spans="1:7" x14ac:dyDescent="0.2">
      <c r="C15" s="118" t="s">
        <v>70</v>
      </c>
      <c r="D15" s="118"/>
      <c r="E15" s="118"/>
      <c r="F15" s="118"/>
      <c r="G15" s="118"/>
    </row>
    <row r="16" spans="1:7" x14ac:dyDescent="0.2">
      <c r="A16" s="24" t="s">
        <v>8</v>
      </c>
      <c r="B16" s="24" t="s">
        <v>71</v>
      </c>
      <c r="C16" s="24">
        <v>0</v>
      </c>
      <c r="D16" s="24">
        <v>25</v>
      </c>
      <c r="E16" s="24">
        <v>50</v>
      </c>
      <c r="F16" s="24">
        <v>75</v>
      </c>
      <c r="G16" s="24">
        <v>100</v>
      </c>
    </row>
    <row r="17" spans="1:7" ht="136.5" customHeight="1" x14ac:dyDescent="0.2">
      <c r="A17" s="52" t="s">
        <v>18</v>
      </c>
      <c r="B17" s="8" t="s">
        <v>93</v>
      </c>
      <c r="C17" s="3" t="s">
        <v>94</v>
      </c>
      <c r="D17" s="3"/>
      <c r="E17" s="3" t="s">
        <v>95</v>
      </c>
      <c r="F17" s="3"/>
      <c r="G17" s="3" t="s">
        <v>96</v>
      </c>
    </row>
    <row r="18" spans="1:7" ht="123" customHeight="1" x14ac:dyDescent="0.2">
      <c r="A18" s="52" t="s">
        <v>19</v>
      </c>
      <c r="B18" s="9" t="s">
        <v>97</v>
      </c>
      <c r="C18" s="5" t="s">
        <v>98</v>
      </c>
      <c r="D18" s="5"/>
      <c r="E18" s="5" t="s">
        <v>99</v>
      </c>
      <c r="F18" s="5"/>
      <c r="G18" s="5" t="s">
        <v>100</v>
      </c>
    </row>
    <row r="22" spans="1:7" x14ac:dyDescent="0.2">
      <c r="A22" s="31" t="s">
        <v>6</v>
      </c>
      <c r="B22" s="25" t="s">
        <v>20</v>
      </c>
    </row>
    <row r="24" spans="1:7" x14ac:dyDescent="0.2">
      <c r="C24" s="118" t="s">
        <v>70</v>
      </c>
      <c r="D24" s="118"/>
      <c r="E24" s="118"/>
      <c r="F24" s="118"/>
      <c r="G24" s="118"/>
    </row>
    <row r="25" spans="1:7" x14ac:dyDescent="0.2">
      <c r="A25" s="24" t="s">
        <v>8</v>
      </c>
      <c r="B25" s="24" t="s">
        <v>71</v>
      </c>
      <c r="C25" s="24">
        <v>0</v>
      </c>
      <c r="D25" s="24">
        <v>25</v>
      </c>
      <c r="E25" s="24">
        <v>50</v>
      </c>
      <c r="F25" s="24">
        <v>75</v>
      </c>
      <c r="G25" s="24">
        <v>100</v>
      </c>
    </row>
    <row r="26" spans="1:7" ht="48" x14ac:dyDescent="0.2">
      <c r="A26" s="36" t="s">
        <v>21</v>
      </c>
      <c r="B26" s="8" t="s">
        <v>101</v>
      </c>
      <c r="C26" s="3" t="s">
        <v>102</v>
      </c>
      <c r="D26" s="3"/>
      <c r="E26" s="3" t="s">
        <v>103</v>
      </c>
      <c r="F26" s="3"/>
      <c r="G26" s="3" t="s">
        <v>104</v>
      </c>
    </row>
    <row r="27" spans="1:7" ht="80" x14ac:dyDescent="0.2">
      <c r="A27" s="36" t="s">
        <v>22</v>
      </c>
      <c r="B27" s="8" t="s">
        <v>105</v>
      </c>
      <c r="C27" s="3" t="s">
        <v>106</v>
      </c>
      <c r="D27" s="3"/>
      <c r="E27" s="3" t="s">
        <v>107</v>
      </c>
      <c r="F27" s="3"/>
      <c r="G27" s="3" t="s">
        <v>108</v>
      </c>
    </row>
    <row r="28" spans="1:7" ht="48" x14ac:dyDescent="0.2">
      <c r="A28" s="37" t="s">
        <v>23</v>
      </c>
      <c r="B28" s="9" t="s">
        <v>109</v>
      </c>
      <c r="C28" s="5" t="s">
        <v>110</v>
      </c>
      <c r="D28" s="5"/>
      <c r="E28" s="5" t="s">
        <v>111</v>
      </c>
      <c r="F28" s="5"/>
      <c r="G28" s="5" t="s">
        <v>112</v>
      </c>
    </row>
  </sheetData>
  <mergeCells count="3">
    <mergeCell ref="C4:G4"/>
    <mergeCell ref="C15:G15"/>
    <mergeCell ref="C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1803-49AB-4E32-ACDD-E73A4CE70AC4}">
  <dimension ref="A1:G37"/>
  <sheetViews>
    <sheetView workbookViewId="0">
      <selection activeCell="B10" sqref="B10"/>
    </sheetView>
  </sheetViews>
  <sheetFormatPr baseColWidth="10" defaultColWidth="8.83203125" defaultRowHeight="15" x14ac:dyDescent="0.2"/>
  <cols>
    <col min="1" max="7" width="24.5" customWidth="1"/>
  </cols>
  <sheetData>
    <row r="1" spans="1:7" x14ac:dyDescent="0.2">
      <c r="A1" s="26" t="s">
        <v>3</v>
      </c>
      <c r="B1" s="25" t="s">
        <v>24</v>
      </c>
    </row>
    <row r="2" spans="1:7" x14ac:dyDescent="0.2">
      <c r="A2" s="26" t="s">
        <v>6</v>
      </c>
      <c r="B2" s="25" t="s">
        <v>25</v>
      </c>
    </row>
    <row r="4" spans="1:7" x14ac:dyDescent="0.2">
      <c r="C4" s="119" t="s">
        <v>70</v>
      </c>
      <c r="D4" s="119"/>
      <c r="E4" s="119"/>
      <c r="F4" s="119"/>
      <c r="G4" s="119"/>
    </row>
    <row r="5" spans="1:7" x14ac:dyDescent="0.2">
      <c r="A5" s="24" t="s">
        <v>8</v>
      </c>
      <c r="B5" s="24" t="s">
        <v>71</v>
      </c>
      <c r="C5" s="24">
        <v>0</v>
      </c>
      <c r="D5" s="24">
        <v>25</v>
      </c>
      <c r="E5" s="24">
        <v>50</v>
      </c>
      <c r="F5" s="24">
        <v>75</v>
      </c>
      <c r="G5" s="24">
        <v>100</v>
      </c>
    </row>
    <row r="6" spans="1:7" ht="48" x14ac:dyDescent="0.2">
      <c r="A6" s="53" t="s">
        <v>26</v>
      </c>
      <c r="B6" s="19" t="s">
        <v>113</v>
      </c>
      <c r="C6" s="18" t="s">
        <v>114</v>
      </c>
      <c r="D6" s="27"/>
      <c r="E6" s="18" t="s">
        <v>115</v>
      </c>
      <c r="F6" s="18"/>
      <c r="G6" s="18" t="s">
        <v>116</v>
      </c>
    </row>
    <row r="7" spans="1:7" ht="48" x14ac:dyDescent="0.2">
      <c r="A7" s="53" t="s">
        <v>27</v>
      </c>
      <c r="B7" s="9" t="s">
        <v>117</v>
      </c>
      <c r="C7" s="5" t="s">
        <v>118</v>
      </c>
      <c r="D7" s="5"/>
      <c r="E7" s="5" t="s">
        <v>115</v>
      </c>
      <c r="F7" s="5"/>
      <c r="G7" s="5" t="s">
        <v>119</v>
      </c>
    </row>
    <row r="10" spans="1:7" x14ac:dyDescent="0.2">
      <c r="A10" s="26" t="s">
        <v>6</v>
      </c>
      <c r="B10" s="25" t="s">
        <v>28</v>
      </c>
    </row>
    <row r="12" spans="1:7" x14ac:dyDescent="0.2">
      <c r="C12" s="118" t="s">
        <v>70</v>
      </c>
      <c r="D12" s="118"/>
      <c r="E12" s="118"/>
      <c r="F12" s="118"/>
      <c r="G12" s="118"/>
    </row>
    <row r="13" spans="1:7" x14ac:dyDescent="0.2">
      <c r="A13" s="24" t="s">
        <v>8</v>
      </c>
      <c r="B13" s="24" t="s">
        <v>71</v>
      </c>
      <c r="C13" s="24">
        <v>0</v>
      </c>
      <c r="D13" s="24">
        <v>25</v>
      </c>
      <c r="E13" s="24">
        <v>50</v>
      </c>
      <c r="F13" s="24">
        <v>75</v>
      </c>
      <c r="G13" s="24">
        <v>100</v>
      </c>
    </row>
    <row r="14" spans="1:7" ht="48" x14ac:dyDescent="0.2">
      <c r="A14" s="54" t="s">
        <v>29</v>
      </c>
      <c r="B14" s="9" t="s">
        <v>120</v>
      </c>
      <c r="C14" s="5" t="s">
        <v>121</v>
      </c>
      <c r="D14" s="5"/>
      <c r="E14" s="5" t="s">
        <v>122</v>
      </c>
      <c r="F14" s="5"/>
      <c r="G14" s="5" t="s">
        <v>123</v>
      </c>
    </row>
    <row r="15" spans="1:7" ht="32" x14ac:dyDescent="0.2">
      <c r="A15" s="54" t="s">
        <v>30</v>
      </c>
      <c r="B15" s="19" t="s">
        <v>124</v>
      </c>
      <c r="C15" s="18" t="s">
        <v>125</v>
      </c>
      <c r="D15" s="18"/>
      <c r="E15" s="18"/>
      <c r="F15" s="18"/>
      <c r="G15" s="18" t="s">
        <v>126</v>
      </c>
    </row>
    <row r="16" spans="1:7" ht="64" x14ac:dyDescent="0.2">
      <c r="A16" s="54" t="s">
        <v>31</v>
      </c>
      <c r="B16" s="9" t="s">
        <v>127</v>
      </c>
      <c r="C16" s="5" t="s">
        <v>128</v>
      </c>
      <c r="D16" s="5"/>
      <c r="E16" s="5"/>
      <c r="F16" s="5"/>
      <c r="G16" s="5" t="s">
        <v>129</v>
      </c>
    </row>
    <row r="19" spans="1:7" x14ac:dyDescent="0.2">
      <c r="A19" s="26" t="s">
        <v>6</v>
      </c>
      <c r="B19" s="25" t="s">
        <v>32</v>
      </c>
    </row>
    <row r="21" spans="1:7" x14ac:dyDescent="0.2">
      <c r="C21" s="118" t="s">
        <v>70</v>
      </c>
      <c r="D21" s="118"/>
      <c r="E21" s="118"/>
      <c r="F21" s="118"/>
      <c r="G21" s="118"/>
    </row>
    <row r="22" spans="1:7" x14ac:dyDescent="0.2">
      <c r="A22" s="24" t="s">
        <v>8</v>
      </c>
      <c r="B22" s="24" t="s">
        <v>71</v>
      </c>
      <c r="C22" s="24">
        <v>0</v>
      </c>
      <c r="D22" s="24">
        <v>25</v>
      </c>
      <c r="E22" s="24">
        <v>50</v>
      </c>
      <c r="F22" s="24">
        <v>75</v>
      </c>
      <c r="G22" s="24">
        <v>100</v>
      </c>
    </row>
    <row r="23" spans="1:7" ht="80" x14ac:dyDescent="0.2">
      <c r="A23" s="55" t="s">
        <v>33</v>
      </c>
      <c r="B23" s="8" t="s">
        <v>130</v>
      </c>
      <c r="C23" s="3" t="s">
        <v>131</v>
      </c>
      <c r="D23" s="28"/>
      <c r="E23" s="3" t="s">
        <v>132</v>
      </c>
      <c r="F23" s="3"/>
      <c r="G23" s="3" t="s">
        <v>133</v>
      </c>
    </row>
    <row r="24" spans="1:7" ht="64" x14ac:dyDescent="0.2">
      <c r="A24" s="55" t="s">
        <v>34</v>
      </c>
      <c r="B24" s="9" t="s">
        <v>134</v>
      </c>
      <c r="C24" s="5" t="s">
        <v>135</v>
      </c>
      <c r="D24" s="7"/>
      <c r="E24" s="5" t="s">
        <v>136</v>
      </c>
      <c r="F24" s="7"/>
      <c r="G24" s="5" t="s">
        <v>137</v>
      </c>
    </row>
    <row r="25" spans="1:7" ht="48" x14ac:dyDescent="0.2">
      <c r="A25" s="56" t="s">
        <v>35</v>
      </c>
      <c r="B25" s="8" t="s">
        <v>138</v>
      </c>
      <c r="C25" s="3" t="s">
        <v>139</v>
      </c>
      <c r="D25" s="28"/>
      <c r="E25" s="3" t="s">
        <v>140</v>
      </c>
      <c r="F25" s="3"/>
      <c r="G25" s="3" t="s">
        <v>141</v>
      </c>
    </row>
    <row r="26" spans="1:7" ht="48" x14ac:dyDescent="0.2">
      <c r="A26" s="56" t="s">
        <v>36</v>
      </c>
      <c r="B26" s="9" t="s">
        <v>142</v>
      </c>
      <c r="C26" s="5" t="s">
        <v>143</v>
      </c>
      <c r="D26" s="7"/>
      <c r="E26" s="5" t="s">
        <v>144</v>
      </c>
      <c r="F26" s="7"/>
      <c r="G26" s="5" t="s">
        <v>145</v>
      </c>
    </row>
    <row r="27" spans="1:7" ht="48" x14ac:dyDescent="0.2">
      <c r="A27" s="56" t="s">
        <v>37</v>
      </c>
      <c r="B27" s="9" t="s">
        <v>146</v>
      </c>
      <c r="C27" s="5" t="s">
        <v>147</v>
      </c>
      <c r="D27" s="5"/>
      <c r="E27" s="5" t="s">
        <v>148</v>
      </c>
      <c r="F27" s="5"/>
      <c r="G27" s="5" t="s">
        <v>149</v>
      </c>
    </row>
    <row r="28" spans="1:7" ht="48" x14ac:dyDescent="0.2">
      <c r="A28" s="55" t="s">
        <v>150</v>
      </c>
      <c r="B28" s="9" t="s">
        <v>151</v>
      </c>
      <c r="C28" s="5" t="s">
        <v>152</v>
      </c>
      <c r="D28" s="7"/>
      <c r="E28" s="5" t="s">
        <v>153</v>
      </c>
      <c r="F28" s="7"/>
      <c r="G28" s="5" t="s">
        <v>154</v>
      </c>
    </row>
    <row r="30" spans="1:7" x14ac:dyDescent="0.2">
      <c r="A30" s="4"/>
      <c r="B30" s="66"/>
      <c r="C30" s="4"/>
      <c r="D30" s="6"/>
      <c r="E30" s="4"/>
      <c r="F30" s="6"/>
      <c r="G30" s="4"/>
    </row>
    <row r="31" spans="1:7" x14ac:dyDescent="0.2">
      <c r="A31" s="26" t="s">
        <v>6</v>
      </c>
      <c r="B31" s="25" t="s">
        <v>39</v>
      </c>
      <c r="C31" s="4"/>
      <c r="D31" s="6"/>
      <c r="E31" s="4"/>
      <c r="F31" s="6"/>
      <c r="G31" s="4"/>
    </row>
    <row r="33" spans="1:7" x14ac:dyDescent="0.2">
      <c r="C33" s="119" t="s">
        <v>70</v>
      </c>
      <c r="D33" s="119"/>
      <c r="E33" s="119"/>
      <c r="F33" s="119"/>
      <c r="G33" s="119"/>
    </row>
    <row r="34" spans="1:7" x14ac:dyDescent="0.2">
      <c r="A34" s="24" t="s">
        <v>8</v>
      </c>
      <c r="B34" s="24" t="s">
        <v>71</v>
      </c>
      <c r="C34" s="24">
        <v>0</v>
      </c>
      <c r="D34" s="24">
        <v>25</v>
      </c>
      <c r="E34" s="24">
        <v>50</v>
      </c>
      <c r="F34" s="24">
        <v>75</v>
      </c>
      <c r="G34" s="24">
        <v>100</v>
      </c>
    </row>
    <row r="35" spans="1:7" ht="80" x14ac:dyDescent="0.2">
      <c r="A35" s="57" t="s">
        <v>40</v>
      </c>
      <c r="B35" s="9" t="s">
        <v>155</v>
      </c>
      <c r="C35" s="5" t="s">
        <v>156</v>
      </c>
      <c r="D35" s="5"/>
      <c r="E35" s="5" t="s">
        <v>157</v>
      </c>
      <c r="F35" s="7"/>
      <c r="G35" s="5" t="s">
        <v>158</v>
      </c>
    </row>
    <row r="36" spans="1:7" ht="48" x14ac:dyDescent="0.2">
      <c r="A36" s="57" t="s">
        <v>41</v>
      </c>
      <c r="B36" s="19" t="s">
        <v>159</v>
      </c>
      <c r="C36" s="18" t="s">
        <v>160</v>
      </c>
      <c r="D36" s="27"/>
      <c r="E36" s="18" t="s">
        <v>161</v>
      </c>
      <c r="F36" s="27"/>
      <c r="G36" s="18" t="s">
        <v>162</v>
      </c>
    </row>
    <row r="37" spans="1:7" ht="48" x14ac:dyDescent="0.2">
      <c r="A37" s="57" t="s">
        <v>42</v>
      </c>
      <c r="B37" s="9" t="s">
        <v>163</v>
      </c>
      <c r="C37" s="5" t="s">
        <v>164</v>
      </c>
      <c r="D37" s="5"/>
      <c r="E37" s="5" t="s">
        <v>165</v>
      </c>
      <c r="F37" s="7"/>
      <c r="G37" s="5" t="s">
        <v>166</v>
      </c>
    </row>
  </sheetData>
  <mergeCells count="4">
    <mergeCell ref="C4:G4"/>
    <mergeCell ref="C12:G12"/>
    <mergeCell ref="C21:G21"/>
    <mergeCell ref="C33:G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B7D1-B36C-4574-BB91-8947A1C00083}">
  <dimension ref="A1:G24"/>
  <sheetViews>
    <sheetView topLeftCell="A24" zoomScale="105" workbookViewId="0">
      <selection activeCell="K7" sqref="K7"/>
    </sheetView>
  </sheetViews>
  <sheetFormatPr baseColWidth="10" defaultColWidth="8.83203125" defaultRowHeight="15" x14ac:dyDescent="0.2"/>
  <cols>
    <col min="1" max="7" width="26.83203125" customWidth="1"/>
  </cols>
  <sheetData>
    <row r="1" spans="1:7" x14ac:dyDescent="0.2">
      <c r="A1" s="10" t="s">
        <v>3</v>
      </c>
      <c r="B1" s="7" t="s">
        <v>43</v>
      </c>
      <c r="C1" s="6"/>
      <c r="D1" s="6"/>
      <c r="E1" s="6"/>
      <c r="F1" s="6"/>
      <c r="G1" s="6"/>
    </row>
    <row r="2" spans="1:7" x14ac:dyDescent="0.2">
      <c r="A2" s="10" t="s">
        <v>6</v>
      </c>
      <c r="B2" s="7" t="s">
        <v>44</v>
      </c>
      <c r="C2" s="4"/>
      <c r="D2" s="4"/>
      <c r="E2" s="4"/>
      <c r="F2" s="4"/>
      <c r="G2" s="4"/>
    </row>
    <row r="3" spans="1:7" x14ac:dyDescent="0.2">
      <c r="A3" s="6"/>
      <c r="B3" s="6"/>
      <c r="C3" s="4"/>
      <c r="D3" s="4"/>
      <c r="E3" s="4"/>
      <c r="F3" s="4"/>
      <c r="G3" s="4"/>
    </row>
    <row r="4" spans="1:7" x14ac:dyDescent="0.2">
      <c r="A4" s="6"/>
      <c r="B4" s="6"/>
      <c r="C4" s="120" t="s">
        <v>70</v>
      </c>
      <c r="D4" s="120"/>
      <c r="E4" s="120"/>
      <c r="F4" s="120"/>
      <c r="G4" s="120"/>
    </row>
    <row r="5" spans="1:7" x14ac:dyDescent="0.2">
      <c r="A5" s="10" t="s">
        <v>8</v>
      </c>
      <c r="B5" s="10" t="s">
        <v>71</v>
      </c>
      <c r="C5" s="11">
        <v>0</v>
      </c>
      <c r="D5" s="11">
        <v>25</v>
      </c>
      <c r="E5" s="11">
        <v>50</v>
      </c>
      <c r="F5" s="11">
        <v>75</v>
      </c>
      <c r="G5" s="11">
        <v>100</v>
      </c>
    </row>
    <row r="6" spans="1:7" ht="48" x14ac:dyDescent="0.2">
      <c r="A6" s="58" t="s">
        <v>45</v>
      </c>
      <c r="B6" s="8" t="s">
        <v>167</v>
      </c>
      <c r="C6" s="3" t="s">
        <v>168</v>
      </c>
      <c r="D6" s="3"/>
      <c r="E6" s="3"/>
      <c r="F6" s="3"/>
      <c r="G6" s="3" t="s">
        <v>169</v>
      </c>
    </row>
    <row r="7" spans="1:7" ht="64" x14ac:dyDescent="0.2">
      <c r="A7" s="58" t="s">
        <v>46</v>
      </c>
      <c r="B7" s="8" t="s">
        <v>170</v>
      </c>
      <c r="C7" s="3" t="s">
        <v>171</v>
      </c>
      <c r="D7" s="3"/>
      <c r="E7" s="3" t="s">
        <v>172</v>
      </c>
      <c r="F7" s="3"/>
      <c r="G7" s="3" t="s">
        <v>173</v>
      </c>
    </row>
    <row r="8" spans="1:7" ht="32" x14ac:dyDescent="0.2">
      <c r="A8" s="58" t="s">
        <v>47</v>
      </c>
      <c r="B8" s="9" t="s">
        <v>174</v>
      </c>
      <c r="C8" s="5" t="s">
        <v>175</v>
      </c>
      <c r="D8" s="5"/>
      <c r="E8" s="5"/>
      <c r="F8" s="5"/>
      <c r="G8" s="5" t="s">
        <v>176</v>
      </c>
    </row>
    <row r="9" spans="1:7" ht="32" x14ac:dyDescent="0.2">
      <c r="A9" s="58" t="s">
        <v>48</v>
      </c>
      <c r="B9" s="9" t="s">
        <v>177</v>
      </c>
      <c r="C9" s="5" t="s">
        <v>178</v>
      </c>
      <c r="D9" s="5"/>
      <c r="E9" s="5"/>
      <c r="F9" s="5"/>
      <c r="G9" s="5" t="s">
        <v>179</v>
      </c>
    </row>
    <row r="10" spans="1:7" ht="32" x14ac:dyDescent="0.2">
      <c r="A10" s="58" t="s">
        <v>49</v>
      </c>
      <c r="B10" s="15" t="s">
        <v>180</v>
      </c>
      <c r="C10" s="14" t="s">
        <v>181</v>
      </c>
      <c r="D10" s="14"/>
      <c r="E10" s="14"/>
      <c r="F10" s="14"/>
      <c r="G10" s="14" t="s">
        <v>182</v>
      </c>
    </row>
    <row r="11" spans="1:7" ht="32" x14ac:dyDescent="0.2">
      <c r="A11" s="58" t="s">
        <v>50</v>
      </c>
      <c r="B11" s="15" t="s">
        <v>183</v>
      </c>
      <c r="C11" s="14" t="s">
        <v>184</v>
      </c>
      <c r="D11" s="14"/>
      <c r="E11" s="14"/>
      <c r="F11" s="14"/>
      <c r="G11" s="14" t="s">
        <v>185</v>
      </c>
    </row>
    <row r="12" spans="1:7" ht="32" x14ac:dyDescent="0.2">
      <c r="A12" s="58" t="s">
        <v>51</v>
      </c>
      <c r="B12" s="16" t="s">
        <v>186</v>
      </c>
      <c r="C12" s="17" t="s">
        <v>187</v>
      </c>
      <c r="D12" s="17"/>
      <c r="E12" s="17"/>
      <c r="F12" s="17"/>
      <c r="G12" s="17" t="s">
        <v>188</v>
      </c>
    </row>
    <row r="13" spans="1:7" ht="48" x14ac:dyDescent="0.2">
      <c r="A13" s="59" t="s">
        <v>52</v>
      </c>
      <c r="B13" s="15" t="s">
        <v>189</v>
      </c>
      <c r="C13" s="14" t="s">
        <v>190</v>
      </c>
      <c r="D13" s="14"/>
      <c r="E13" s="14"/>
      <c r="F13" s="14"/>
      <c r="G13" s="14" t="s">
        <v>191</v>
      </c>
    </row>
    <row r="14" spans="1:7" ht="32" x14ac:dyDescent="0.2">
      <c r="A14" s="60" t="s">
        <v>192</v>
      </c>
      <c r="B14" s="19" t="s">
        <v>193</v>
      </c>
      <c r="C14" s="18" t="s">
        <v>194</v>
      </c>
      <c r="D14" s="18"/>
      <c r="E14" s="18"/>
      <c r="F14" s="18"/>
      <c r="G14" s="18" t="s">
        <v>195</v>
      </c>
    </row>
    <row r="15" spans="1:7" ht="48" x14ac:dyDescent="0.2">
      <c r="A15" s="61" t="s">
        <v>196</v>
      </c>
      <c r="B15" s="15" t="s">
        <v>197</v>
      </c>
      <c r="C15" s="14" t="s">
        <v>198</v>
      </c>
      <c r="D15" s="14"/>
      <c r="E15" s="14"/>
      <c r="F15" s="14"/>
      <c r="G15" s="14" t="s">
        <v>199</v>
      </c>
    </row>
    <row r="16" spans="1:7" x14ac:dyDescent="0.2">
      <c r="A16" s="6"/>
      <c r="B16" s="6"/>
      <c r="C16" s="4"/>
      <c r="D16" s="4"/>
      <c r="E16" s="4"/>
      <c r="F16" s="4"/>
      <c r="G16" s="4"/>
    </row>
    <row r="17" spans="1:7" x14ac:dyDescent="0.2">
      <c r="C17" s="4"/>
      <c r="D17" s="4"/>
      <c r="E17" s="4"/>
      <c r="F17" s="4"/>
      <c r="G17" s="4"/>
    </row>
    <row r="18" spans="1:7" x14ac:dyDescent="0.2">
      <c r="A18" s="10" t="s">
        <v>6</v>
      </c>
      <c r="B18" s="7" t="s">
        <v>200</v>
      </c>
      <c r="C18" s="4"/>
      <c r="D18" s="4"/>
      <c r="E18" s="4"/>
      <c r="F18" s="4"/>
      <c r="G18" s="4"/>
    </row>
    <row r="19" spans="1:7" x14ac:dyDescent="0.2">
      <c r="A19" s="6"/>
      <c r="B19" s="6"/>
      <c r="C19" s="4"/>
      <c r="D19" s="4"/>
      <c r="E19" s="4"/>
      <c r="F19" s="4"/>
      <c r="G19" s="4"/>
    </row>
    <row r="20" spans="1:7" x14ac:dyDescent="0.2">
      <c r="A20" s="6"/>
      <c r="B20" s="6"/>
      <c r="C20" s="120" t="s">
        <v>70</v>
      </c>
      <c r="D20" s="120"/>
      <c r="E20" s="120"/>
      <c r="F20" s="120"/>
      <c r="G20" s="120"/>
    </row>
    <row r="21" spans="1:7" x14ac:dyDescent="0.2">
      <c r="A21" s="10" t="s">
        <v>8</v>
      </c>
      <c r="B21" s="10" t="s">
        <v>71</v>
      </c>
      <c r="C21" s="11">
        <v>0</v>
      </c>
      <c r="D21" s="11">
        <v>25</v>
      </c>
      <c r="E21" s="11">
        <v>50</v>
      </c>
      <c r="F21" s="11">
        <v>75</v>
      </c>
      <c r="G21" s="11">
        <v>100</v>
      </c>
    </row>
    <row r="22" spans="1:7" ht="64" x14ac:dyDescent="0.2">
      <c r="A22" s="62" t="s">
        <v>56</v>
      </c>
      <c r="B22" s="12" t="s">
        <v>201</v>
      </c>
      <c r="C22" s="3" t="s">
        <v>202</v>
      </c>
      <c r="D22" s="13"/>
      <c r="E22" s="13" t="s">
        <v>203</v>
      </c>
      <c r="F22" s="13"/>
      <c r="G22" s="13" t="s">
        <v>204</v>
      </c>
    </row>
    <row r="23" spans="1:7" ht="48" x14ac:dyDescent="0.2">
      <c r="A23" s="62" t="s">
        <v>57</v>
      </c>
      <c r="B23" s="9" t="s">
        <v>205</v>
      </c>
      <c r="C23" s="5" t="s">
        <v>206</v>
      </c>
      <c r="D23" s="5"/>
      <c r="E23" s="5" t="s">
        <v>207</v>
      </c>
      <c r="F23" s="5"/>
      <c r="G23" s="5" t="s">
        <v>208</v>
      </c>
    </row>
    <row r="24" spans="1:7" ht="64" x14ac:dyDescent="0.2">
      <c r="A24" s="62" t="s">
        <v>58</v>
      </c>
      <c r="B24" s="15" t="s">
        <v>209</v>
      </c>
      <c r="C24" s="14" t="s">
        <v>210</v>
      </c>
      <c r="D24" s="14"/>
      <c r="E24" s="14" t="s">
        <v>211</v>
      </c>
      <c r="F24" s="14"/>
      <c r="G24" s="14" t="s">
        <v>212</v>
      </c>
    </row>
  </sheetData>
  <mergeCells count="2">
    <mergeCell ref="C4:G4"/>
    <mergeCell ref="C20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37A4-E999-46F7-96A7-58C20D9162DA}">
  <dimension ref="A1:G14"/>
  <sheetViews>
    <sheetView workbookViewId="0">
      <selection activeCell="K13" sqref="K13"/>
    </sheetView>
  </sheetViews>
  <sheetFormatPr baseColWidth="10" defaultColWidth="8.83203125" defaultRowHeight="15" x14ac:dyDescent="0.2"/>
  <cols>
    <col min="1" max="7" width="22.1640625" customWidth="1"/>
  </cols>
  <sheetData>
    <row r="1" spans="1:7" x14ac:dyDescent="0.2">
      <c r="A1" s="10" t="s">
        <v>3</v>
      </c>
      <c r="B1" s="7" t="s">
        <v>213</v>
      </c>
      <c r="C1" s="6"/>
      <c r="D1" s="6"/>
      <c r="E1" s="6"/>
      <c r="F1" s="6"/>
      <c r="G1" s="6"/>
    </row>
    <row r="2" spans="1:7" x14ac:dyDescent="0.2">
      <c r="A2" s="10" t="s">
        <v>6</v>
      </c>
      <c r="B2" s="7" t="s">
        <v>60</v>
      </c>
      <c r="C2" s="6"/>
      <c r="D2" s="6"/>
      <c r="E2" s="6"/>
      <c r="F2" s="6"/>
      <c r="G2" s="6"/>
    </row>
    <row r="3" spans="1:7" x14ac:dyDescent="0.2">
      <c r="A3" s="6"/>
      <c r="B3" s="6"/>
      <c r="C3" s="6"/>
      <c r="D3" s="6"/>
      <c r="E3" s="6"/>
      <c r="F3" s="6"/>
      <c r="G3" s="6"/>
    </row>
    <row r="4" spans="1:7" x14ac:dyDescent="0.2">
      <c r="A4" s="6"/>
      <c r="B4" s="6"/>
      <c r="C4" s="121" t="s">
        <v>70</v>
      </c>
      <c r="D4" s="121"/>
      <c r="E4" s="121"/>
      <c r="F4" s="121"/>
      <c r="G4" s="121"/>
    </row>
    <row r="5" spans="1:7" x14ac:dyDescent="0.2">
      <c r="A5" s="10" t="s">
        <v>8</v>
      </c>
      <c r="B5" s="10" t="s">
        <v>71</v>
      </c>
      <c r="C5" s="10">
        <v>0</v>
      </c>
      <c r="D5" s="10">
        <v>25</v>
      </c>
      <c r="E5" s="10">
        <v>50</v>
      </c>
      <c r="F5" s="10">
        <v>75</v>
      </c>
      <c r="G5" s="10">
        <v>100</v>
      </c>
    </row>
    <row r="6" spans="1:7" ht="32" x14ac:dyDescent="0.2">
      <c r="A6" s="63" t="s">
        <v>61</v>
      </c>
      <c r="B6" s="8" t="s">
        <v>214</v>
      </c>
      <c r="C6" s="3" t="s">
        <v>215</v>
      </c>
      <c r="D6" s="3"/>
      <c r="E6" s="3" t="s">
        <v>216</v>
      </c>
      <c r="F6" s="3"/>
      <c r="G6" s="3" t="s">
        <v>217</v>
      </c>
    </row>
    <row r="7" spans="1:7" ht="64" x14ac:dyDescent="0.2">
      <c r="A7" s="63" t="s">
        <v>62</v>
      </c>
      <c r="B7" s="9" t="s">
        <v>218</v>
      </c>
      <c r="C7" s="5" t="s">
        <v>219</v>
      </c>
      <c r="D7" s="5"/>
      <c r="E7" s="20"/>
      <c r="F7" s="5"/>
      <c r="G7" s="5" t="s">
        <v>220</v>
      </c>
    </row>
    <row r="8" spans="1:7" ht="80" x14ac:dyDescent="0.2">
      <c r="A8" s="63" t="s">
        <v>221</v>
      </c>
      <c r="B8" s="9" t="s">
        <v>222</v>
      </c>
      <c r="C8" s="5" t="s">
        <v>223</v>
      </c>
      <c r="D8" s="5"/>
      <c r="E8" s="5" t="s">
        <v>224</v>
      </c>
      <c r="F8" s="5"/>
      <c r="G8" s="5" t="s">
        <v>225</v>
      </c>
    </row>
    <row r="9" spans="1:7" ht="80" x14ac:dyDescent="0.2">
      <c r="A9" s="63" t="s">
        <v>64</v>
      </c>
      <c r="B9" s="19" t="s">
        <v>226</v>
      </c>
      <c r="C9" s="18" t="s">
        <v>227</v>
      </c>
      <c r="D9" s="18"/>
      <c r="E9" s="18" t="s">
        <v>228</v>
      </c>
      <c r="F9" s="18"/>
      <c r="G9" s="18" t="s">
        <v>229</v>
      </c>
    </row>
    <row r="10" spans="1:7" ht="64" x14ac:dyDescent="0.2">
      <c r="A10" s="63" t="s">
        <v>65</v>
      </c>
      <c r="B10" s="19" t="s">
        <v>230</v>
      </c>
      <c r="C10" s="18" t="s">
        <v>231</v>
      </c>
      <c r="D10" s="18"/>
      <c r="E10" s="18" t="s">
        <v>232</v>
      </c>
      <c r="F10" s="18"/>
      <c r="G10" s="18" t="s">
        <v>233</v>
      </c>
    </row>
    <row r="11" spans="1:7" ht="80" x14ac:dyDescent="0.2">
      <c r="A11" s="64" t="s">
        <v>66</v>
      </c>
      <c r="B11" s="15" t="s">
        <v>234</v>
      </c>
      <c r="C11" s="14" t="s">
        <v>235</v>
      </c>
      <c r="D11" s="14"/>
      <c r="E11" s="14"/>
      <c r="F11" s="14"/>
      <c r="G11" s="14" t="s">
        <v>236</v>
      </c>
    </row>
    <row r="12" spans="1:7" ht="144" x14ac:dyDescent="0.2">
      <c r="A12" s="65" t="s">
        <v>67</v>
      </c>
      <c r="B12" s="21" t="s">
        <v>237</v>
      </c>
      <c r="C12" s="21" t="s">
        <v>238</v>
      </c>
      <c r="D12" s="21"/>
      <c r="E12" s="21" t="s">
        <v>239</v>
      </c>
      <c r="F12" s="21"/>
      <c r="G12" s="21" t="s">
        <v>240</v>
      </c>
    </row>
    <row r="13" spans="1:7" ht="160" x14ac:dyDescent="0.2">
      <c r="A13" s="65" t="s">
        <v>68</v>
      </c>
      <c r="B13" s="21" t="s">
        <v>241</v>
      </c>
      <c r="C13" s="21" t="s">
        <v>242</v>
      </c>
      <c r="D13" s="21"/>
      <c r="E13" s="21" t="s">
        <v>243</v>
      </c>
      <c r="F13" s="21"/>
      <c r="G13" s="21" t="s">
        <v>240</v>
      </c>
    </row>
    <row r="14" spans="1:7" ht="80" x14ac:dyDescent="0.2">
      <c r="A14" s="65" t="s">
        <v>69</v>
      </c>
      <c r="B14" s="21" t="s">
        <v>244</v>
      </c>
      <c r="C14" s="21" t="s">
        <v>245</v>
      </c>
      <c r="D14" s="22"/>
      <c r="E14" s="22" t="s">
        <v>246</v>
      </c>
      <c r="F14" s="22"/>
      <c r="G14" s="22" t="s">
        <v>247</v>
      </c>
    </row>
  </sheetData>
  <mergeCells count="1">
    <mergeCell ref="C4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D427A8D168B43A2F42C58E096CB4D" ma:contentTypeVersion="11" ma:contentTypeDescription="Create a new document." ma:contentTypeScope="" ma:versionID="c8d7ade86d27e79340c50897418d805b">
  <xsd:schema xmlns:xsd="http://www.w3.org/2001/XMLSchema" xmlns:xs="http://www.w3.org/2001/XMLSchema" xmlns:p="http://schemas.microsoft.com/office/2006/metadata/properties" xmlns:ns2="89c15599-b2ca-4b67-ab4c-e3cf839dd0ae" xmlns:ns3="7c11e900-739a-4b69-a33a-a7ba5b83fc61" targetNamespace="http://schemas.microsoft.com/office/2006/metadata/properties" ma:root="true" ma:fieldsID="6c6a66ee05e7efac2969a5ac3fb758a2" ns2:_="" ns3:_="">
    <xsd:import namespace="89c15599-b2ca-4b67-ab4c-e3cf839dd0ae"/>
    <xsd:import namespace="7c11e900-739a-4b69-a33a-a7ba5b83f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15599-b2ca-4b67-ab4c-e3cf839dd0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1e900-739a-4b69-a33a-a7ba5b83fc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e96e72-9387-47b1-83c8-9faa86f61d8b}" ma:internalName="TaxCatchAll" ma:showField="CatchAllData" ma:web="7c11e900-739a-4b69-a33a-a7ba5b83f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c15599-b2ca-4b67-ab4c-e3cf839dd0ae">
      <Terms xmlns="http://schemas.microsoft.com/office/infopath/2007/PartnerControls"/>
    </lcf76f155ced4ddcb4097134ff3c332f>
    <TaxCatchAll xmlns="7c11e900-739a-4b69-a33a-a7ba5b83fc61" xsi:nil="true"/>
  </documentManagement>
</p:properties>
</file>

<file path=customXml/itemProps1.xml><?xml version="1.0" encoding="utf-8"?>
<ds:datastoreItem xmlns:ds="http://schemas.openxmlformats.org/officeDocument/2006/customXml" ds:itemID="{FFF201EB-6861-4282-868C-3ACBFB9510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23034-5049-4057-B8FA-F5E4FAD88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15599-b2ca-4b67-ab4c-e3cf839dd0ae"/>
    <ds:schemaRef ds:uri="7c11e900-739a-4b69-a33a-a7ba5b83f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822859-7E13-4882-A354-61FB77BB86C9}">
  <ds:schemaRefs>
    <ds:schemaRef ds:uri="http://schemas.microsoft.com/office/2006/metadata/properties"/>
    <ds:schemaRef ds:uri="http://schemas.microsoft.com/office/infopath/2007/PartnerControls"/>
    <ds:schemaRef ds:uri="89c15599-b2ca-4b67-ab4c-e3cf839dd0ae"/>
    <ds:schemaRef ds:uri="7c11e900-739a-4b69-a33a-a7ba5b83fc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Usability</vt:lpstr>
      <vt:lpstr>Functionality</vt:lpstr>
      <vt:lpstr>Aesthetic</vt:lpstr>
      <vt:lpstr>Accessability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Escudeiro</cp:lastModifiedBy>
  <cp:revision/>
  <dcterms:created xsi:type="dcterms:W3CDTF">2024-10-21T18:41:34Z</dcterms:created>
  <dcterms:modified xsi:type="dcterms:W3CDTF">2024-12-03T17:40:47Z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0x010100AE1D427A8D168B43A2F42C58E096CB4D</vt:lpwstr>
  </property>
  <property fmtid="{D5CDD505-2E9C-101B-9397-08002B2CF9AE}" pid="3" name="MediaServiceImageTags">
    <vt:lpwstr/>
  </property>
</Properties>
</file>