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/>
  <mc:AlternateContent xmlns:mc="http://schemas.openxmlformats.org/markup-compatibility/2006">
    <mc:Choice Requires="x15">
      <x15ac:absPath xmlns:x15ac="http://schemas.microsoft.com/office/spreadsheetml/2010/11/ac" url="/Users/paulaescudeiro/Dropbox/Activity/Pedagogica/2025/CAMUL-MEI (1sem)/TP/QEF final/"/>
    </mc:Choice>
  </mc:AlternateContent>
  <xr:revisionPtr revIDLastSave="0" documentId="8_{303C05F1-5425-8047-984F-B07774B817AA}" xr6:coauthVersionLast="47" xr6:coauthVersionMax="47" xr10:uidLastSave="{00000000-0000-0000-0000-000000000000}"/>
  <bookViews>
    <workbookView xWindow="-120" yWindow="740" windowWidth="29040" windowHeight="16440" xr2:uid="{00000000-000D-0000-FFFF-FFFF00000000}"/>
  </bookViews>
  <sheets>
    <sheet name="QEF" sheetId="5" r:id="rId1"/>
    <sheet name="Functionality" sheetId="6" r:id="rId2"/>
    <sheet name="Accessibility" sheetId="9" r:id="rId3"/>
    <sheet name="Aesthetic" sheetId="7" r:id="rId4"/>
    <sheet name="Usability" sheetId="8" r:id="rId5"/>
    <sheet name="_56F9DC9755BA473782653E2940F9" sheetId="2" state="veryHidden" r:id="rId6"/>
  </sheets>
  <definedNames>
    <definedName name="_56F9DC9755BA473782653E2940F9FormId">"KaZgeh_mDEOcYyZmU7K4mS4HfvV4hEVGifdPy62G16hUQkdKUzI0RjhGMTE5TU0yNzlaVlBQVTBGNSQlQCN0PWcu"</definedName>
    <definedName name="_56F9DC9755BA473782653E2940F9ResponseSheet">"Form1"</definedName>
    <definedName name="_56F9DC9755BA473782653E2940F9SourceDocId">"{ee18d7d6-562b-465e-8a22-de789b1fce2f}"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F2" i="5"/>
  <c r="F6" i="5"/>
  <c r="E2" i="5"/>
  <c r="C2" i="5" s="1"/>
  <c r="E6" i="5"/>
  <c r="E8" i="5"/>
  <c r="E13" i="5"/>
  <c r="F13" i="5"/>
  <c r="F16" i="5"/>
  <c r="F23" i="5"/>
  <c r="F26" i="5"/>
  <c r="E26" i="5"/>
  <c r="E31" i="5"/>
  <c r="F31" i="5"/>
  <c r="E16" i="5"/>
  <c r="E23" i="5"/>
  <c r="C16" i="5" s="1"/>
  <c r="C26" i="5" l="1"/>
  <c r="C8" i="5"/>
  <c r="A2" i="5" s="1"/>
  <c r="B2" i="5"/>
</calcChain>
</file>

<file path=xl/sharedStrings.xml><?xml version="1.0" encoding="utf-8"?>
<sst xmlns="http://schemas.openxmlformats.org/spreadsheetml/2006/main" count="249" uniqueCount="200">
  <si>
    <t>q</t>
  </si>
  <si>
    <t>D</t>
  </si>
  <si>
    <t>Qi</t>
  </si>
  <si>
    <t>Dimension</t>
  </si>
  <si>
    <t>Qj</t>
  </si>
  <si>
    <t>Wij (Factor Weight j in Dim i) [0,1]</t>
  </si>
  <si>
    <t>Factor</t>
  </si>
  <si>
    <t>rwjk (requirement weight k in Factor j) {2, 4, 6, 8, 10}</t>
  </si>
  <si>
    <t>Requirement</t>
  </si>
  <si>
    <t>wfk % requirement fulfillment k) {0, 25, 50, 75, 100}</t>
  </si>
  <si>
    <t>Functionality</t>
  </si>
  <si>
    <t>Website Interaction</t>
  </si>
  <si>
    <t>FWI01 - Users can access all Modules</t>
  </si>
  <si>
    <t>FWI02 - Users can access all Lessons</t>
  </si>
  <si>
    <t>FWI03 - Users can view general Statistics on Quizzes</t>
  </si>
  <si>
    <t>FWI04 - Users can view MOOC statistics</t>
  </si>
  <si>
    <t>Customizability</t>
  </si>
  <si>
    <r>
      <t>FC01</t>
    </r>
    <r>
      <rPr>
        <sz val="11"/>
        <color theme="1"/>
        <rFont val="Calibri"/>
        <family val="2"/>
        <scheme val="minor"/>
      </rPr>
      <t xml:space="preserve"> - Users have the option to create an account.</t>
    </r>
  </si>
  <si>
    <r>
      <t>FC02</t>
    </r>
    <r>
      <rPr>
        <sz val="11"/>
        <color theme="1"/>
        <rFont val="Calibri"/>
        <family val="2"/>
        <scheme val="minor"/>
      </rPr>
      <t xml:space="preserve"> - Users can log in to an existing account.</t>
    </r>
  </si>
  <si>
    <t>Accessibility</t>
  </si>
  <si>
    <t>Readability</t>
  </si>
  <si>
    <r>
      <t>AR01</t>
    </r>
    <r>
      <rPr>
        <sz val="11"/>
        <color theme="1"/>
        <rFont val="Calibri"/>
        <family val="2"/>
        <scheme val="minor"/>
      </rPr>
      <t xml:space="preserve"> - The font chosen is clear and easy to read.</t>
    </r>
  </si>
  <si>
    <r>
      <t>AR02</t>
    </r>
    <r>
      <rPr>
        <sz val="11"/>
        <color theme="1"/>
        <rFont val="Calibri"/>
        <family val="2"/>
        <scheme val="minor"/>
      </rPr>
      <t xml:space="preserve"> - The body text uses a suitable font size.</t>
    </r>
  </si>
  <si>
    <r>
      <t>AR03</t>
    </r>
    <r>
      <rPr>
        <sz val="11"/>
        <color theme="1"/>
        <rFont val="Calibri"/>
        <family val="2"/>
        <scheme val="minor"/>
      </rPr>
      <t xml:space="preserve"> - Both serif and sans-serif fonts are applied according to page style.</t>
    </r>
  </si>
  <si>
    <r>
      <t>AR04</t>
    </r>
    <r>
      <rPr>
        <sz val="11"/>
        <color theme="1"/>
        <rFont val="Calibri"/>
        <family val="2"/>
        <scheme val="minor"/>
      </rPr>
      <t xml:space="preserve"> - Line spacing is optimized for readability.</t>
    </r>
  </si>
  <si>
    <r>
      <t>AR05</t>
    </r>
    <r>
      <rPr>
        <sz val="11"/>
        <color theme="1"/>
        <rFont val="Calibri"/>
        <family val="2"/>
        <scheme val="minor"/>
      </rPr>
      <t xml:space="preserve"> - Bullet points and lists are used to enhance readability.</t>
    </r>
  </si>
  <si>
    <t>Operability</t>
  </si>
  <si>
    <r>
      <t>AO01</t>
    </r>
    <r>
      <rPr>
        <sz val="11"/>
        <color theme="1"/>
        <rFont val="Calibri"/>
        <family val="2"/>
        <scheme val="minor"/>
      </rPr>
      <t xml:space="preserve"> - All lessons include transcripts to support users who are deaf or hard of hearing.</t>
    </r>
  </si>
  <si>
    <r>
      <t>AO02</t>
    </r>
    <r>
      <rPr>
        <sz val="11"/>
        <color theme="1"/>
        <rFont val="Calibri"/>
        <family val="2"/>
        <scheme val="minor"/>
      </rPr>
      <t xml:space="preserve"> - Images on the page include descriptive or alternative text.</t>
    </r>
  </si>
  <si>
    <r>
      <t>AO03</t>
    </r>
    <r>
      <rPr>
        <sz val="11"/>
        <color theme="1"/>
        <rFont val="Calibri"/>
        <family val="2"/>
        <scheme val="minor"/>
      </rPr>
      <t xml:space="preserve"> - Clickable elements, such as links and buttons, are clearly identifiable.</t>
    </r>
  </si>
  <si>
    <t>Aesthetic</t>
  </si>
  <si>
    <t>Visual Appeal</t>
  </si>
  <si>
    <r>
      <t>AVA01</t>
    </r>
    <r>
      <rPr>
        <sz val="11"/>
        <color theme="1"/>
        <rFont val="Calibri"/>
        <family val="2"/>
        <scheme val="minor"/>
      </rPr>
      <t xml:space="preserve"> - A consistent color palette is maintained.</t>
    </r>
  </si>
  <si>
    <r>
      <t>AVA02</t>
    </r>
    <r>
      <rPr>
        <sz val="11"/>
        <color theme="1"/>
        <rFont val="Calibri"/>
        <family val="2"/>
        <scheme val="minor"/>
      </rPr>
      <t xml:space="preserve"> - Design elements are used consistently.</t>
    </r>
  </si>
  <si>
    <r>
      <t>AVA03</t>
    </r>
    <r>
      <rPr>
        <sz val="11"/>
        <color theme="1"/>
        <rFont val="Calibri"/>
        <family val="2"/>
        <scheme val="minor"/>
      </rPr>
      <t xml:space="preserve"> - The layout balances positive and negative space.</t>
    </r>
  </si>
  <si>
    <r>
      <t>AVA04</t>
    </r>
    <r>
      <rPr>
        <sz val="11"/>
        <color theme="1"/>
        <rFont val="Calibri"/>
        <family val="2"/>
        <scheme val="minor"/>
      </rPr>
      <t xml:space="preserve"> - Visual elements are balanced for visual weight.</t>
    </r>
  </si>
  <si>
    <r>
      <t>AVA05</t>
    </r>
    <r>
      <rPr>
        <sz val="11"/>
        <color theme="1"/>
        <rFont val="Calibri"/>
        <family val="2"/>
        <scheme val="minor"/>
      </rPr>
      <t xml:space="preserve"> - High-quality images, videos, and graphics are used.</t>
    </r>
  </si>
  <si>
    <r>
      <t>AVA06</t>
    </r>
    <r>
      <rPr>
        <sz val="11"/>
        <color theme="1"/>
        <rFont val="Calibri"/>
        <family val="2"/>
        <scheme val="minor"/>
      </rPr>
      <t xml:space="preserve"> - The Rule of Thirds is applied in the design.</t>
    </r>
  </si>
  <si>
    <r>
      <t>AVA07</t>
    </r>
    <r>
      <rPr>
        <sz val="11"/>
        <color theme="1"/>
        <rFont val="Calibri"/>
        <family val="2"/>
        <scheme val="minor"/>
      </rPr>
      <t xml:space="preserve"> - Sufficient color contrast is used.</t>
    </r>
  </si>
  <si>
    <t>Hierarchy Organization</t>
  </si>
  <si>
    <r>
      <t>AHO01</t>
    </r>
    <r>
      <rPr>
        <sz val="11"/>
        <color theme="1"/>
        <rFont val="Calibri"/>
        <family val="2"/>
        <scheme val="minor"/>
      </rPr>
      <t xml:space="preserve"> - Main content is clearly separated from supplementary information.</t>
    </r>
  </si>
  <si>
    <r>
      <t>AHO02</t>
    </r>
    <r>
      <rPr>
        <sz val="11"/>
        <color theme="1"/>
        <rFont val="Calibri"/>
        <family val="2"/>
        <scheme val="minor"/>
      </rPr>
      <t xml:space="preserve"> - Key content is intuitively placed.</t>
    </r>
  </si>
  <si>
    <r>
      <t>AHO03</t>
    </r>
    <r>
      <rPr>
        <sz val="11"/>
        <color theme="1"/>
        <rFont val="Calibri"/>
        <family val="2"/>
        <scheme val="minor"/>
      </rPr>
      <t xml:space="preserve"> - Visual hierarchy is employed to guide users through content.</t>
    </r>
  </si>
  <si>
    <t>Usability</t>
  </si>
  <si>
    <t>Engaging</t>
  </si>
  <si>
    <r>
      <t>UE01</t>
    </r>
    <r>
      <rPr>
        <sz val="11"/>
        <color theme="1"/>
        <rFont val="Calibri"/>
        <family val="2"/>
        <scheme val="minor"/>
      </rPr>
      <t xml:space="preserve"> - Users can update their password.</t>
    </r>
  </si>
  <si>
    <r>
      <t>UE02</t>
    </r>
    <r>
      <rPr>
        <sz val="11"/>
        <color theme="1"/>
        <rFont val="Calibri"/>
        <family val="2"/>
        <scheme val="minor"/>
      </rPr>
      <t xml:space="preserve"> - An active internet connection is required for access.</t>
    </r>
  </si>
  <si>
    <r>
      <t>UE03</t>
    </r>
    <r>
      <rPr>
        <sz val="11"/>
        <color theme="1"/>
        <rFont val="Calibri"/>
        <family val="2"/>
        <scheme val="minor"/>
      </rPr>
      <t xml:space="preserve"> - Compatible with current and future user agents, including assistive technologies.</t>
    </r>
  </si>
  <si>
    <r>
      <t>UE04</t>
    </r>
    <r>
      <rPr>
        <sz val="11"/>
        <color theme="1"/>
        <rFont val="Calibri"/>
        <family val="2"/>
        <scheme val="minor"/>
      </rPr>
      <t xml:space="preserve"> - The website is responsive and adapts to various devices and screen sizes.</t>
    </r>
  </si>
  <si>
    <r>
      <t>UE05</t>
    </r>
    <r>
      <rPr>
        <sz val="11"/>
        <color theme="1"/>
        <rFont val="Calibri"/>
        <family val="2"/>
        <scheme val="minor"/>
      </rPr>
      <t xml:space="preserve"> - The website is available in English.</t>
    </r>
  </si>
  <si>
    <t>Easy to learn</t>
  </si>
  <si>
    <r>
      <t>UETL01</t>
    </r>
    <r>
      <rPr>
        <sz val="11"/>
        <color theme="1"/>
        <rFont val="Calibri"/>
        <family val="2"/>
        <scheme val="minor"/>
      </rPr>
      <t xml:space="preserve"> - Users can submit overall reviews.</t>
    </r>
  </si>
  <si>
    <r>
      <t>UETL02</t>
    </r>
    <r>
      <rPr>
        <sz val="11"/>
        <color theme="1"/>
        <rFont val="Calibri"/>
        <family val="2"/>
        <scheme val="minor"/>
      </rPr>
      <t xml:space="preserve"> - A consistent layout and navigation structure is provided throughout the site for easy content understanding and navigation.</t>
    </r>
  </si>
  <si>
    <t>Wfk - Fullfilment (%)</t>
  </si>
  <si>
    <t>Metric Evaluation</t>
  </si>
  <si>
    <t>The Users can choose to view any Modules at any time in any order</t>
  </si>
  <si>
    <t>Users cant access any Module</t>
  </si>
  <si>
    <t xml:space="preserve">Users can only view Modules in a specific order </t>
  </si>
  <si>
    <t>Users can view any Module at any time</t>
  </si>
  <si>
    <t>The Users can choose to view any Lesson at any time in any order</t>
  </si>
  <si>
    <t>Users cant access any Lesson</t>
  </si>
  <si>
    <t xml:space="preserve">Users can only view Lessons in a specific order </t>
  </si>
  <si>
    <t>Users can view any Lesson at any time</t>
  </si>
  <si>
    <t>Users can view general statistics from the Quizzes, such as average User score</t>
  </si>
  <si>
    <t>Users cannot view general statistics</t>
  </si>
  <si>
    <t>Users can view general statistics</t>
  </si>
  <si>
    <t>Users can view course progress</t>
  </si>
  <si>
    <t>Users cannot view current progress</t>
  </si>
  <si>
    <t>FC01 - Users have the option to create an account.</t>
  </si>
  <si>
    <t>Users can create an account on the Website at any time through an username/email</t>
  </si>
  <si>
    <t>Users are not able to create na account</t>
  </si>
  <si>
    <t>User are able to create an account without a unique ID</t>
  </si>
  <si>
    <t>Users are able to create an account with unique ID</t>
  </si>
  <si>
    <t>FC02 - Users can log in to an existing account.</t>
  </si>
  <si>
    <t>Users can login into an existing account at any time</t>
  </si>
  <si>
    <t>Users are not able to login into an existing account</t>
  </si>
  <si>
    <t>Users are able to login into an existing account</t>
  </si>
  <si>
    <t>AR01 - The font chosen is clear and easy to read.</t>
  </si>
  <si>
    <t>The font chosen for the website is legible to the user</t>
  </si>
  <si>
    <t>The font chosen is unreadable</t>
  </si>
  <si>
    <t xml:space="preserve">The font chosen is readable but not very clear </t>
  </si>
  <si>
    <t>The font chosen is clear and easy to read</t>
  </si>
  <si>
    <t>AR02 - The body text uses a suitable font size.</t>
  </si>
  <si>
    <t xml:space="preserve">The font size chosen is the proper size allowing for readability </t>
  </si>
  <si>
    <t>The font size is unreadable</t>
  </si>
  <si>
    <t>The font size is readable</t>
  </si>
  <si>
    <t>AR03 - Both serif and sans-serif fonts are applied according to page style.</t>
  </si>
  <si>
    <t>The use of serif and non-serif fonts should be in line with the website (e.g. using non-serif fonts in a modern website)</t>
  </si>
  <si>
    <t>The use of serif and non-serif fonts does not match the website's style</t>
  </si>
  <si>
    <t>The use of serif and non-serif fonts is misused in some areas of the website</t>
  </si>
  <si>
    <t>The use of serif and non-serif fonts is according to the website style</t>
  </si>
  <si>
    <t>AR04 - Line spacing is optimized for readability.</t>
  </si>
  <si>
    <t>The use of line spacing is adequate to the website making it easy to read. The line spacing has to be at least 1.5 the font size.</t>
  </si>
  <si>
    <t>There is a clear misuse of the line spacing through all of the website</t>
  </si>
  <si>
    <t>The use of line spacing is correct only in some parts of the website</t>
  </si>
  <si>
    <t>Line spacing is used correctly through all of the website and increases readability</t>
  </si>
  <si>
    <t>AR05 - Bullet points and lists are used to enhance readability.</t>
  </si>
  <si>
    <t>Bullet points and lists should be used everywhere they increase readability (e.g. when enumerating something)</t>
  </si>
  <si>
    <t>Bullet points or lists weren't used (this includes chapters)</t>
  </si>
  <si>
    <t>Bullet points or lists were used (this includes chapters/lessons)</t>
  </si>
  <si>
    <t>AO01 - All lessons include transcripts to support users who are deaf or hard of hearing.</t>
  </si>
  <si>
    <t>When accessing the different lessons of the different chapters, the user has available to them a transcript of the chosen lesson</t>
  </si>
  <si>
    <t>There are no available transcripts for any of the lessons</t>
  </si>
  <si>
    <t>Not every lesson has a transcript available</t>
  </si>
  <si>
    <t>There is a transcript for every lesson of every Chapter</t>
  </si>
  <si>
    <t>AO02 - Images on the page include descriptive or alternative text.</t>
  </si>
  <si>
    <t>Images and other visual elements provide an alternative text and/or description in order to be identifiable and usable by other media, in this case by Windows Narrator and Speech Recognition</t>
  </si>
  <si>
    <t>Visual elements do not provide alternative text and/or description</t>
  </si>
  <si>
    <t>Only some visual elements do not provide alternative text and/or description</t>
  </si>
  <si>
    <t>All visual elements provide alternative text and/or description recognizable to Windows Narrator</t>
  </si>
  <si>
    <t>AO03 - Clickable elements, such as links and buttons, are clearly identifiable.</t>
  </si>
  <si>
    <t>Buttons and other elements like hyperlinks should be highlighted either by a well-defined border or color even when not hoovered over</t>
  </si>
  <si>
    <t>Clickable elements are not highlighted by either border or color</t>
  </si>
  <si>
    <t>Not all clickable elements are highlighted by border or color</t>
  </si>
  <si>
    <t>All clickable elements are highlighted by border or color</t>
  </si>
  <si>
    <t>AVA01 - A consistent color palette is maintained.</t>
  </si>
  <si>
    <t>Color palette is consistent with the content and feeling that the website is trying to convey</t>
  </si>
  <si>
    <t>The color palette does not make sense in the page context</t>
  </si>
  <si>
    <t>The color palette is used effectively to help the design of the page</t>
  </si>
  <si>
    <t>AVA02 - Design elements are used consistently.</t>
  </si>
  <si>
    <t>Design and creative elements are used correctly and are consistent throughout the website</t>
  </si>
  <si>
    <t>Design and creative elements are not used in the page context</t>
  </si>
  <si>
    <t>Design and creative elements are used incorrectly (do not make sense in the context of the content)</t>
  </si>
  <si>
    <t>Color scheme is used effectively to help the design of the page</t>
  </si>
  <si>
    <t>AVA03 - The layout balances positive and negative space.</t>
  </si>
  <si>
    <t>Correct and Effective use of positive and negative space</t>
  </si>
  <si>
    <t>No page uses positive or negative space</t>
  </si>
  <si>
    <t>Some pages have white and positive space used</t>
  </si>
  <si>
    <t>AVA04 - Visual elements are balanced for visual weight.</t>
  </si>
  <si>
    <t>Image, text and object weight are used effectively</t>
  </si>
  <si>
    <t>No page uses different text, image and object weights</t>
  </si>
  <si>
    <t>Some pages uses different text, image and object weights</t>
  </si>
  <si>
    <t>AVA05 - High-quality images, videos, and graphics are used.</t>
  </si>
  <si>
    <t>Quality of Images and Graphics that are related with the website's theme</t>
  </si>
  <si>
    <t xml:space="preserve">No images/graphics were used </t>
  </si>
  <si>
    <t>Low quality images/graphics that relate to the website
OR
High quality images/graphics that do not relate to the website</t>
  </si>
  <si>
    <t>Usage of high quality images/graphics that emphasize the theme of the website</t>
  </si>
  <si>
    <t>AVA06 - The Rule of Thirds is applied in the design.</t>
  </si>
  <si>
    <t>Use of the Rule of Thirds is consistent and effective</t>
  </si>
  <si>
    <t>There's no use of the rule of the thirds seen</t>
  </si>
  <si>
    <t>The rule of the thirds is present in at least one page</t>
  </si>
  <si>
    <t>AVA07 - Sufficient color contrast is used.</t>
  </si>
  <si>
    <t>Usage of complementary colors in order to give contrast to the content elements</t>
  </si>
  <si>
    <t>There is no use of complementary colors</t>
  </si>
  <si>
    <t>Complementary colors are used to give contrast to content elements</t>
  </si>
  <si>
    <t>Organization Hierachy</t>
  </si>
  <si>
    <t>AHO01 - Main content is clearly separated from supplementary information.</t>
  </si>
  <si>
    <t>How effectively the website distinguishes between primary content and additional information for user clarity</t>
  </si>
  <si>
    <t>There is no clear distinction between main content and supplementary information.</t>
  </si>
  <si>
    <t>The distinction is reasonable but can be improved.</t>
  </si>
  <si>
    <t>The distinction is clear and effective.</t>
  </si>
  <si>
    <t>AHO02 - Key content is intuitively placed.</t>
  </si>
  <si>
    <t>The degree to which important content is intuitively positioned for easy user access</t>
  </si>
  <si>
    <t>Important content is poorly positioned and difficult to find.</t>
  </si>
  <si>
    <t>Important content is reasonably intuitive but can be more refined.</t>
  </si>
  <si>
    <t>Important content is highly intuitively positioned.</t>
  </si>
  <si>
    <t>AHO03 - Visual hierarchy is employed to guide users through content.</t>
  </si>
  <si>
    <t>The website utilizes the concept of visual hierarchy and visual wheight to give the Users eyes through the website's pages content</t>
  </si>
  <si>
    <t>These concepts are not used</t>
  </si>
  <si>
    <t>These concepts are used but are not able to effectively convey the hierarchy of the elements</t>
  </si>
  <si>
    <t>These concepts are used and effectively convey the hierarchy of the elements</t>
  </si>
  <si>
    <t>Organization</t>
  </si>
  <si>
    <t>UE01 - Users can update their password.</t>
  </si>
  <si>
    <t>Users can, at any time while logged in, change the password of the account their are logged into</t>
  </si>
  <si>
    <t>Users can not change the account's password</t>
  </si>
  <si>
    <t>Users can change the account's password</t>
  </si>
  <si>
    <t>UE02 - An active internet connection is required for access.</t>
  </si>
  <si>
    <t>The usage of the website depends on whether or not there is an internet connection</t>
  </si>
  <si>
    <t>Cant access website in any form</t>
  </si>
  <si>
    <t>Can't access website through internet connection</t>
  </si>
  <si>
    <t>The website is available through internet connection</t>
  </si>
  <si>
    <t>UE03 - Compatible with current and future user agents, including assistive technologies.</t>
  </si>
  <si>
    <t>Users with different browser versions should be able to access the website and utilize their features</t>
  </si>
  <si>
    <t>The website is only accessible in a specific platform version</t>
  </si>
  <si>
    <t>The website is limited to working on only 2 different platform versions</t>
  </si>
  <si>
    <t>The website is limited to working on only 3 different platform versions</t>
  </si>
  <si>
    <t>The website is limited to working on up to 5 different platform versions</t>
  </si>
  <si>
    <t>The website works on more than 5 different platform versions</t>
  </si>
  <si>
    <t>UE04 - The website is responsive and adapts to various devices and screen sizes.</t>
  </si>
  <si>
    <t>The user's screen size should not compromise the website's structure, disposition and, accessibility. For this reason, the website should adjust to different screen sizes.</t>
  </si>
  <si>
    <t>The website does not adjust and resize itself according to the user's screen size and device</t>
  </si>
  <si>
    <t>The website does adjust and resize itself according to the user's screen size and device, but some features are compromised</t>
  </si>
  <si>
    <t>The website adjusts and resizes itself according to user's screen size and device, while still being fully operable</t>
  </si>
  <si>
    <t>UE05 - The website is available in English.</t>
  </si>
  <si>
    <t>The website is available in the English language</t>
  </si>
  <si>
    <t>English language is not available</t>
  </si>
  <si>
    <t>English language is available</t>
  </si>
  <si>
    <t>UETL01 - Users can submit overall reviews.</t>
  </si>
  <si>
    <t>Users must be able to give feedback about specific lessons and chapters</t>
  </si>
  <si>
    <t>Users cant give feedback</t>
  </si>
  <si>
    <t>Users can only give feedback for the Chapters</t>
  </si>
  <si>
    <t>Users can leave feedback related to Chapters and Lessons</t>
  </si>
  <si>
    <t>UETL02 - A consistent layout and navigation structure is provided throughout the site for easy content understanding and navigation.</t>
  </si>
  <si>
    <t>A FAQ page should be available to help the Users. This should be the page where the tutorial is available.</t>
  </si>
  <si>
    <t>There is no FAQ/tutorial page</t>
  </si>
  <si>
    <t>FAQ only presents the Users with the tutorial video</t>
  </si>
  <si>
    <t>FAQ page contains the tutorial video and other relevant information about the online course</t>
  </si>
  <si>
    <t>KaZgeh_mDEOcYyZmU7K4mS4HfvV4hEVGifdPy62G16hUQkdKUzI0RjhGMTE5TU0yNzlaVlBQVTBGNSQlQCN0PWcu</t>
  </si>
  <si>
    <t>Form1</t>
  </si>
  <si>
    <t>{ee18d7d6-562b-465e-8a22-de789b1fce2f}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</si>
</sst>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0">
    <xf numFmtId="0" fontId="0" fillId="0" borderId="0" xfId="0"/>
    <xf numFmtId="49" fontId="0" fillId="0" borderId="0" xfId="0" applyNumberFormat="1"/>
    <xf numFmtId="0" fontId="0" fillId="0" borderId="1" xfId="0" applyBorder="1"/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/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9" borderId="1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8" borderId="6" xfId="0" applyFill="1" applyBorder="1" applyAlignment="1">
      <alignment horizontal="left" vertical="center" wrapText="1"/>
    </xf>
    <xf numFmtId="0" fontId="0" fillId="10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6" xfId="0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8" borderId="1" xfId="0" applyFill="1" applyBorder="1" applyAlignment="1">
      <alignment vertical="center" wrapText="1"/>
    </xf>
    <xf numFmtId="0" fontId="0" fillId="3" borderId="8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6" borderId="5" xfId="0" applyFill="1" applyBorder="1"/>
    <xf numFmtId="0" fontId="0" fillId="5" borderId="5" xfId="0" applyFill="1" applyBorder="1"/>
    <xf numFmtId="0" fontId="0" fillId="7" borderId="5" xfId="0" applyFill="1" applyBorder="1"/>
    <xf numFmtId="0" fontId="0" fillId="6" borderId="1" xfId="0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12" borderId="5" xfId="0" applyFill="1" applyBorder="1"/>
    <xf numFmtId="0" fontId="0" fillId="4" borderId="5" xfId="0" applyFill="1" applyBorder="1" applyAlignment="1">
      <alignment vertical="center"/>
    </xf>
    <xf numFmtId="0" fontId="0" fillId="3" borderId="5" xfId="0" applyFill="1" applyBorder="1"/>
    <xf numFmtId="0" fontId="0" fillId="11" borderId="5" xfId="0" applyFill="1" applyBorder="1"/>
    <xf numFmtId="0" fontId="0" fillId="10" borderId="5" xfId="0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4" borderId="5" xfId="0" applyFill="1" applyBorder="1"/>
    <xf numFmtId="0" fontId="0" fillId="3" borderId="5" xfId="0" applyFill="1" applyBorder="1" applyAlignment="1">
      <alignment vertical="center"/>
    </xf>
    <xf numFmtId="0" fontId="0" fillId="11" borderId="5" xfId="0" applyFill="1" applyBorder="1" applyAlignment="1">
      <alignment vertical="center"/>
    </xf>
    <xf numFmtId="0" fontId="0" fillId="10" borderId="5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12" borderId="5" xfId="0" applyFill="1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3CC698-9A63-4578-8DF3-4833ED0CF5FA}">
  <we:reference id="81ae7f57-2760-4043-a9cb-e0d36209e808" version="1.3.0.0" store="EXCatalog" storeType="EXCatalog"/>
  <we:alternateReferences>
    <we:reference id="WA200003696" version="1.3.0.0" store="pt-PT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1FEB-C74F-4667-B34B-C7DB22123B5A}">
  <dimension ref="A1:J32"/>
  <sheetViews>
    <sheetView tabSelected="1" zoomScaleNormal="100" workbookViewId="0">
      <selection activeCell="F16" sqref="F16:F22"/>
    </sheetView>
  </sheetViews>
  <sheetFormatPr baseColWidth="10" defaultColWidth="8.83203125" defaultRowHeight="15" x14ac:dyDescent="0.2"/>
  <cols>
    <col min="2" max="2" width="12.1640625" bestFit="1" customWidth="1"/>
    <col min="3" max="3" width="12" bestFit="1" customWidth="1"/>
    <col min="4" max="4" width="12.5" bestFit="1" customWidth="1"/>
    <col min="5" max="5" width="4.5" bestFit="1" customWidth="1"/>
    <col min="6" max="6" width="32.5" customWidth="1"/>
    <col min="7" max="7" width="25" customWidth="1"/>
    <col min="8" max="8" width="12.5" customWidth="1"/>
    <col min="9" max="9" width="85.1640625" bestFit="1" customWidth="1"/>
    <col min="10" max="10" width="17.1640625" customWidth="1"/>
  </cols>
  <sheetData>
    <row r="1" spans="1:10" ht="80" x14ac:dyDescent="0.2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4" t="s">
        <v>5</v>
      </c>
      <c r="G1" s="53" t="s">
        <v>6</v>
      </c>
      <c r="H1" s="54" t="s">
        <v>7</v>
      </c>
      <c r="I1" s="55" t="s">
        <v>8</v>
      </c>
      <c r="J1" s="54" t="s">
        <v>9</v>
      </c>
    </row>
    <row r="2" spans="1:10" x14ac:dyDescent="0.2">
      <c r="A2" s="65">
        <f>(LOG(1+C2/100)+LOG(1+C8/100)+LOG(1+C16/100)+LOG(1+C26/100))/(4*LOG(2))</f>
        <v>0.80867963677593735</v>
      </c>
      <c r="B2" s="64">
        <f>SQRT((1-C2/100)^2+(1-C8/100)^2+(1-C16/100)^2+(1-C26/100)^2)</f>
        <v>0.56023662098399063</v>
      </c>
      <c r="C2" s="69">
        <f>SUMPRODUCT(E2:E7,F2:F7)</f>
        <v>83.333333333333329</v>
      </c>
      <c r="D2" s="68" t="s">
        <v>10</v>
      </c>
      <c r="E2" s="84">
        <f>(1/(SUM(H2:H5)))*SUMPRODUCT(H2:H5,J2:J5)</f>
        <v>75</v>
      </c>
      <c r="F2" s="84">
        <f>COUNT(H2:H5)/COUNT(H2:H7)</f>
        <v>0.66666666666666663</v>
      </c>
      <c r="G2" s="84" t="s">
        <v>11</v>
      </c>
      <c r="H2" s="56">
        <v>10</v>
      </c>
      <c r="I2" s="49" t="s">
        <v>12</v>
      </c>
      <c r="J2" s="49">
        <v>100</v>
      </c>
    </row>
    <row r="3" spans="1:10" x14ac:dyDescent="0.2">
      <c r="A3" s="65"/>
      <c r="B3" s="64"/>
      <c r="C3" s="70"/>
      <c r="D3" s="68"/>
      <c r="E3" s="84"/>
      <c r="F3" s="84"/>
      <c r="G3" s="84"/>
      <c r="H3" s="56">
        <v>10</v>
      </c>
      <c r="I3" s="49" t="s">
        <v>13</v>
      </c>
      <c r="J3" s="49">
        <v>100</v>
      </c>
    </row>
    <row r="4" spans="1:10" x14ac:dyDescent="0.2">
      <c r="A4" s="65"/>
      <c r="B4" s="64"/>
      <c r="C4" s="70"/>
      <c r="D4" s="68"/>
      <c r="E4" s="84"/>
      <c r="F4" s="84"/>
      <c r="G4" s="84"/>
      <c r="H4" s="56">
        <v>10</v>
      </c>
      <c r="I4" s="49" t="s">
        <v>14</v>
      </c>
      <c r="J4" s="49">
        <v>0</v>
      </c>
    </row>
    <row r="5" spans="1:10" x14ac:dyDescent="0.2">
      <c r="A5" s="65"/>
      <c r="B5" s="64"/>
      <c r="C5" s="70"/>
      <c r="D5" s="68"/>
      <c r="E5" s="84"/>
      <c r="F5" s="84"/>
      <c r="G5" s="84"/>
      <c r="H5" s="56">
        <v>10</v>
      </c>
      <c r="I5" s="49" t="s">
        <v>15</v>
      </c>
      <c r="J5" s="49">
        <v>100</v>
      </c>
    </row>
    <row r="6" spans="1:10" x14ac:dyDescent="0.2">
      <c r="A6" s="65"/>
      <c r="B6" s="64"/>
      <c r="C6" s="70"/>
      <c r="D6" s="68"/>
      <c r="E6" s="68">
        <f>(1/(SUM(H6:H7)))*SUMPRODUCT(H6:H7,J6:J7)</f>
        <v>100</v>
      </c>
      <c r="F6" s="68">
        <f>COUNT(H6:H7)/COUNT(H2:H7)</f>
        <v>0.33333333333333331</v>
      </c>
      <c r="G6" s="68" t="s">
        <v>16</v>
      </c>
      <c r="H6" s="50">
        <v>6</v>
      </c>
      <c r="I6" s="50" t="s">
        <v>17</v>
      </c>
      <c r="J6" s="57">
        <v>100</v>
      </c>
    </row>
    <row r="7" spans="1:10" x14ac:dyDescent="0.2">
      <c r="A7" s="65"/>
      <c r="B7" s="64"/>
      <c r="C7" s="71"/>
      <c r="D7" s="68"/>
      <c r="E7" s="68"/>
      <c r="F7" s="68"/>
      <c r="G7" s="68"/>
      <c r="H7" s="50">
        <v>6</v>
      </c>
      <c r="I7" s="50" t="s">
        <v>18</v>
      </c>
      <c r="J7" s="57">
        <v>100</v>
      </c>
    </row>
    <row r="8" spans="1:10" x14ac:dyDescent="0.2">
      <c r="A8" s="65"/>
      <c r="B8" s="64"/>
      <c r="C8" s="76">
        <f>SUMPRODUCT(E8:E15,F8:F15)</f>
        <v>57.043650793650791</v>
      </c>
      <c r="D8" s="82" t="s">
        <v>19</v>
      </c>
      <c r="E8" s="85">
        <f>(1/(SUM(H8:H12)))*SUMPRODUCT(H8:H12,J8:J12)</f>
        <v>80.555555555555557</v>
      </c>
      <c r="F8" s="85">
        <f>COUNT(H8:H12)/COUNT(H8:H15)</f>
        <v>0.625</v>
      </c>
      <c r="G8" s="85" t="s">
        <v>20</v>
      </c>
      <c r="H8" s="51">
        <v>8</v>
      </c>
      <c r="I8" s="51" t="s">
        <v>21</v>
      </c>
      <c r="J8" s="58">
        <v>100</v>
      </c>
    </row>
    <row r="9" spans="1:10" x14ac:dyDescent="0.2">
      <c r="A9" s="65"/>
      <c r="B9" s="64"/>
      <c r="C9" s="77"/>
      <c r="D9" s="82"/>
      <c r="E9" s="85"/>
      <c r="F9" s="85"/>
      <c r="G9" s="85"/>
      <c r="H9" s="51">
        <v>8</v>
      </c>
      <c r="I9" s="51" t="s">
        <v>22</v>
      </c>
      <c r="J9" s="58">
        <v>100</v>
      </c>
    </row>
    <row r="10" spans="1:10" x14ac:dyDescent="0.2">
      <c r="A10" s="65"/>
      <c r="B10" s="64"/>
      <c r="C10" s="77"/>
      <c r="D10" s="82"/>
      <c r="E10" s="85"/>
      <c r="F10" s="85"/>
      <c r="G10" s="85"/>
      <c r="H10" s="51">
        <v>8</v>
      </c>
      <c r="I10" s="51" t="s">
        <v>23</v>
      </c>
      <c r="J10" s="58">
        <v>50</v>
      </c>
    </row>
    <row r="11" spans="1:10" x14ac:dyDescent="0.2">
      <c r="A11" s="65"/>
      <c r="B11" s="64"/>
      <c r="C11" s="77"/>
      <c r="D11" s="82"/>
      <c r="E11" s="85"/>
      <c r="F11" s="85"/>
      <c r="G11" s="85"/>
      <c r="H11" s="51">
        <v>6</v>
      </c>
      <c r="I11" s="51" t="s">
        <v>24</v>
      </c>
      <c r="J11" s="58">
        <v>50</v>
      </c>
    </row>
    <row r="12" spans="1:10" x14ac:dyDescent="0.2">
      <c r="A12" s="65"/>
      <c r="B12" s="64"/>
      <c r="C12" s="77"/>
      <c r="D12" s="82"/>
      <c r="E12" s="85"/>
      <c r="F12" s="85"/>
      <c r="G12" s="85"/>
      <c r="H12" s="51">
        <v>6</v>
      </c>
      <c r="I12" s="51" t="s">
        <v>25</v>
      </c>
      <c r="J12" s="58">
        <v>100</v>
      </c>
    </row>
    <row r="13" spans="1:10" x14ac:dyDescent="0.2">
      <c r="A13" s="65"/>
      <c r="B13" s="64"/>
      <c r="C13" s="77"/>
      <c r="D13" s="82"/>
      <c r="E13" s="82">
        <f>(1/(SUM(H13:H15)))*SUMPRODUCT(H13:H15,J13:J15)</f>
        <v>17.857142857142858</v>
      </c>
      <c r="F13" s="82">
        <f>COUNT(H13:H15)/COUNT(H8:H15)</f>
        <v>0.375</v>
      </c>
      <c r="G13" s="82" t="s">
        <v>26</v>
      </c>
      <c r="H13" s="52">
        <v>10</v>
      </c>
      <c r="I13" s="52" t="s">
        <v>27</v>
      </c>
      <c r="J13" s="59">
        <v>0</v>
      </c>
    </row>
    <row r="14" spans="1:10" x14ac:dyDescent="0.2">
      <c r="A14" s="65"/>
      <c r="B14" s="64"/>
      <c r="C14" s="77"/>
      <c r="D14" s="82"/>
      <c r="E14" s="82"/>
      <c r="F14" s="82"/>
      <c r="G14" s="82"/>
      <c r="H14" s="52">
        <v>8</v>
      </c>
      <c r="I14" s="52" t="s">
        <v>28</v>
      </c>
      <c r="J14" s="59">
        <v>0</v>
      </c>
    </row>
    <row r="15" spans="1:10" x14ac:dyDescent="0.2">
      <c r="A15" s="65"/>
      <c r="B15" s="64"/>
      <c r="C15" s="78"/>
      <c r="D15" s="82"/>
      <c r="E15" s="82"/>
      <c r="F15" s="82"/>
      <c r="G15" s="82"/>
      <c r="H15" s="52">
        <v>10</v>
      </c>
      <c r="I15" s="52" t="s">
        <v>29</v>
      </c>
      <c r="J15" s="59">
        <v>50</v>
      </c>
    </row>
    <row r="16" spans="1:10" x14ac:dyDescent="0.2">
      <c r="A16" s="65"/>
      <c r="B16" s="64"/>
      <c r="C16" s="79">
        <f>SUMPRODUCT(E16:E25,F16:F25)</f>
        <v>93.75</v>
      </c>
      <c r="D16" s="67" t="s">
        <v>30</v>
      </c>
      <c r="E16" s="83">
        <f>(1/(SUM(H16:H22)))*SUMPRODUCT(H16:H22,J16:J22)</f>
        <v>100</v>
      </c>
      <c r="F16" s="83">
        <f>COUNT(H16:H22)/COUNT(H16:H25)</f>
        <v>0.7</v>
      </c>
      <c r="G16" s="83" t="s">
        <v>31</v>
      </c>
      <c r="H16" s="42">
        <v>10</v>
      </c>
      <c r="I16" s="42" t="s">
        <v>32</v>
      </c>
      <c r="J16" s="60">
        <v>100</v>
      </c>
    </row>
    <row r="17" spans="1:10" x14ac:dyDescent="0.2">
      <c r="A17" s="65"/>
      <c r="B17" s="64"/>
      <c r="C17" s="80"/>
      <c r="D17" s="67"/>
      <c r="E17" s="83"/>
      <c r="F17" s="83"/>
      <c r="G17" s="83"/>
      <c r="H17" s="42">
        <v>10</v>
      </c>
      <c r="I17" s="42" t="s">
        <v>33</v>
      </c>
      <c r="J17" s="60">
        <v>100</v>
      </c>
    </row>
    <row r="18" spans="1:10" x14ac:dyDescent="0.2">
      <c r="A18" s="65"/>
      <c r="B18" s="64"/>
      <c r="C18" s="80"/>
      <c r="D18" s="67"/>
      <c r="E18" s="83"/>
      <c r="F18" s="83"/>
      <c r="G18" s="83"/>
      <c r="H18" s="42">
        <v>6</v>
      </c>
      <c r="I18" s="42" t="s">
        <v>34</v>
      </c>
      <c r="J18" s="60">
        <v>100</v>
      </c>
    </row>
    <row r="19" spans="1:10" x14ac:dyDescent="0.2">
      <c r="A19" s="65"/>
      <c r="B19" s="64"/>
      <c r="C19" s="80"/>
      <c r="D19" s="67"/>
      <c r="E19" s="83"/>
      <c r="F19" s="83"/>
      <c r="G19" s="83"/>
      <c r="H19" s="42">
        <v>6</v>
      </c>
      <c r="I19" s="42" t="s">
        <v>35</v>
      </c>
      <c r="J19" s="60">
        <v>100</v>
      </c>
    </row>
    <row r="20" spans="1:10" x14ac:dyDescent="0.2">
      <c r="A20" s="65"/>
      <c r="B20" s="64"/>
      <c r="C20" s="80"/>
      <c r="D20" s="67"/>
      <c r="E20" s="83"/>
      <c r="F20" s="83"/>
      <c r="G20" s="83"/>
      <c r="H20" s="42">
        <v>6</v>
      </c>
      <c r="I20" s="42" t="s">
        <v>36</v>
      </c>
      <c r="J20" s="60">
        <v>100</v>
      </c>
    </row>
    <row r="21" spans="1:10" x14ac:dyDescent="0.2">
      <c r="A21" s="65"/>
      <c r="B21" s="64"/>
      <c r="C21" s="80"/>
      <c r="D21" s="67"/>
      <c r="E21" s="83"/>
      <c r="F21" s="83"/>
      <c r="G21" s="83"/>
      <c r="H21" s="42">
        <v>10</v>
      </c>
      <c r="I21" s="42" t="s">
        <v>37</v>
      </c>
      <c r="J21" s="60">
        <v>100</v>
      </c>
    </row>
    <row r="22" spans="1:10" x14ac:dyDescent="0.2">
      <c r="A22" s="65"/>
      <c r="B22" s="64"/>
      <c r="C22" s="80"/>
      <c r="D22" s="67"/>
      <c r="E22" s="83"/>
      <c r="F22" s="83"/>
      <c r="G22" s="83"/>
      <c r="H22" s="42">
        <v>8</v>
      </c>
      <c r="I22" s="42" t="s">
        <v>38</v>
      </c>
      <c r="J22" s="60">
        <v>100</v>
      </c>
    </row>
    <row r="23" spans="1:10" x14ac:dyDescent="0.2">
      <c r="A23" s="65"/>
      <c r="B23" s="64"/>
      <c r="C23" s="80"/>
      <c r="D23" s="67"/>
      <c r="E23" s="67">
        <f>(1/(SUM(H23:H25)))*SUMPRODUCT(H23:H25,J23:J25)</f>
        <v>79.166666666666657</v>
      </c>
      <c r="F23" s="67">
        <f>COUNT(H23:H25)/COUNT(H16:H25)</f>
        <v>0.3</v>
      </c>
      <c r="G23" s="67" t="s">
        <v>39</v>
      </c>
      <c r="H23" s="43">
        <v>6</v>
      </c>
      <c r="I23" s="43" t="s">
        <v>40</v>
      </c>
      <c r="J23" s="61">
        <v>100</v>
      </c>
    </row>
    <row r="24" spans="1:10" x14ac:dyDescent="0.2">
      <c r="A24" s="65"/>
      <c r="B24" s="64"/>
      <c r="C24" s="80"/>
      <c r="D24" s="67"/>
      <c r="E24" s="67"/>
      <c r="F24" s="67"/>
      <c r="G24" s="67"/>
      <c r="H24" s="43">
        <v>8</v>
      </c>
      <c r="I24" s="43" t="s">
        <v>41</v>
      </c>
      <c r="J24" s="61">
        <v>100</v>
      </c>
    </row>
    <row r="25" spans="1:10" x14ac:dyDescent="0.2">
      <c r="A25" s="65"/>
      <c r="B25" s="64"/>
      <c r="C25" s="81"/>
      <c r="D25" s="67"/>
      <c r="E25" s="67"/>
      <c r="F25" s="67"/>
      <c r="G25" s="67"/>
      <c r="H25" s="43">
        <v>10</v>
      </c>
      <c r="I25" s="43" t="s">
        <v>42</v>
      </c>
      <c r="J25" s="61">
        <v>50</v>
      </c>
    </row>
    <row r="26" spans="1:10" x14ac:dyDescent="0.2">
      <c r="A26" s="65"/>
      <c r="B26" s="64"/>
      <c r="C26" s="72">
        <f>SUMPRODUCT(E26:E32,F26:F32)</f>
        <v>68.75</v>
      </c>
      <c r="D26" s="75" t="s">
        <v>43</v>
      </c>
      <c r="E26" s="66">
        <f>(1/(SUM(H26:H30)))*SUMPRODUCT(H26:H30,J26:J30)</f>
        <v>96.25</v>
      </c>
      <c r="F26" s="66">
        <f>COUNT(H26:H30)/COUNT(H26:H32)</f>
        <v>0.7142857142857143</v>
      </c>
      <c r="G26" s="66" t="s">
        <v>44</v>
      </c>
      <c r="H26" s="48">
        <v>10</v>
      </c>
      <c r="I26" s="48" t="s">
        <v>45</v>
      </c>
      <c r="J26" s="62">
        <v>100</v>
      </c>
    </row>
    <row r="27" spans="1:10" x14ac:dyDescent="0.2">
      <c r="A27" s="65"/>
      <c r="B27" s="64"/>
      <c r="C27" s="73"/>
      <c r="D27" s="75"/>
      <c r="E27" s="66"/>
      <c r="F27" s="66"/>
      <c r="G27" s="66"/>
      <c r="H27" s="48">
        <v>6</v>
      </c>
      <c r="I27" s="48" t="s">
        <v>46</v>
      </c>
      <c r="J27" s="62">
        <v>100</v>
      </c>
    </row>
    <row r="28" spans="1:10" x14ac:dyDescent="0.2">
      <c r="A28" s="65"/>
      <c r="B28" s="64"/>
      <c r="C28" s="73"/>
      <c r="D28" s="75"/>
      <c r="E28" s="66"/>
      <c r="F28" s="66"/>
      <c r="G28" s="66"/>
      <c r="H28" s="48">
        <v>6</v>
      </c>
      <c r="I28" s="48" t="s">
        <v>47</v>
      </c>
      <c r="J28" s="62">
        <v>75</v>
      </c>
    </row>
    <row r="29" spans="1:10" x14ac:dyDescent="0.2">
      <c r="A29" s="65"/>
      <c r="B29" s="64"/>
      <c r="C29" s="73"/>
      <c r="D29" s="75"/>
      <c r="E29" s="66"/>
      <c r="F29" s="66"/>
      <c r="G29" s="66"/>
      <c r="H29" s="48">
        <v>8</v>
      </c>
      <c r="I29" s="48" t="s">
        <v>48</v>
      </c>
      <c r="J29" s="62">
        <v>100</v>
      </c>
    </row>
    <row r="30" spans="1:10" x14ac:dyDescent="0.2">
      <c r="A30" s="65"/>
      <c r="B30" s="64"/>
      <c r="C30" s="73"/>
      <c r="D30" s="75"/>
      <c r="E30" s="66"/>
      <c r="F30" s="66"/>
      <c r="G30" s="66"/>
      <c r="H30" s="48">
        <v>10</v>
      </c>
      <c r="I30" s="48" t="s">
        <v>49</v>
      </c>
      <c r="J30" s="62">
        <v>100</v>
      </c>
    </row>
    <row r="31" spans="1:10" x14ac:dyDescent="0.2">
      <c r="A31" s="65"/>
      <c r="B31" s="64"/>
      <c r="C31" s="73"/>
      <c r="D31" s="75"/>
      <c r="E31" s="75">
        <f>(1/(SUM(H31:H32)))*SUMPRODUCT(H31:H32,J31:J32)</f>
        <v>0</v>
      </c>
      <c r="F31" s="75">
        <f>COUNT(H31:H32)/COUNT(H26:H32)</f>
        <v>0.2857142857142857</v>
      </c>
      <c r="G31" s="75" t="s">
        <v>50</v>
      </c>
      <c r="H31" s="44">
        <v>6</v>
      </c>
      <c r="I31" s="44" t="s">
        <v>51</v>
      </c>
      <c r="J31" s="63">
        <v>0</v>
      </c>
    </row>
    <row r="32" spans="1:10" x14ac:dyDescent="0.2">
      <c r="A32" s="65"/>
      <c r="B32" s="64"/>
      <c r="C32" s="74"/>
      <c r="D32" s="75"/>
      <c r="E32" s="75"/>
      <c r="F32" s="75"/>
      <c r="G32" s="75"/>
      <c r="H32" s="44">
        <v>6</v>
      </c>
      <c r="I32" s="44" t="s">
        <v>52</v>
      </c>
      <c r="J32" s="63">
        <v>0</v>
      </c>
    </row>
  </sheetData>
  <mergeCells count="34">
    <mergeCell ref="G13:G15"/>
    <mergeCell ref="G2:G5"/>
    <mergeCell ref="G6:G7"/>
    <mergeCell ref="F8:F12"/>
    <mergeCell ref="E8:E12"/>
    <mergeCell ref="F6:F7"/>
    <mergeCell ref="E6:E7"/>
    <mergeCell ref="F2:F5"/>
    <mergeCell ref="E2:E5"/>
    <mergeCell ref="G8:G12"/>
    <mergeCell ref="E13:E15"/>
    <mergeCell ref="F13:F15"/>
    <mergeCell ref="G31:G32"/>
    <mergeCell ref="G26:G30"/>
    <mergeCell ref="G16:G22"/>
    <mergeCell ref="E16:E22"/>
    <mergeCell ref="F16:F22"/>
    <mergeCell ref="G23:G25"/>
    <mergeCell ref="B2:B32"/>
    <mergeCell ref="A2:A32"/>
    <mergeCell ref="F26:F30"/>
    <mergeCell ref="E26:E30"/>
    <mergeCell ref="F23:F25"/>
    <mergeCell ref="E23:E25"/>
    <mergeCell ref="D2:D7"/>
    <mergeCell ref="C2:C7"/>
    <mergeCell ref="D16:D25"/>
    <mergeCell ref="C26:C32"/>
    <mergeCell ref="E31:E32"/>
    <mergeCell ref="F31:F32"/>
    <mergeCell ref="D26:D32"/>
    <mergeCell ref="C8:C15"/>
    <mergeCell ref="C16:C25"/>
    <mergeCell ref="D8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3493-7610-411B-B09B-D3839F73362B}">
  <dimension ref="A1:G19"/>
  <sheetViews>
    <sheetView topLeftCell="A7" zoomScale="87" zoomScaleNormal="87" workbookViewId="0">
      <selection activeCell="A17" sqref="A17"/>
    </sheetView>
  </sheetViews>
  <sheetFormatPr baseColWidth="10" defaultColWidth="8.83203125" defaultRowHeight="15" x14ac:dyDescent="0.2"/>
  <cols>
    <col min="1" max="2" width="35.6640625" customWidth="1"/>
    <col min="3" max="7" width="25.6640625" customWidth="1"/>
  </cols>
  <sheetData>
    <row r="1" spans="1:7" x14ac:dyDescent="0.2">
      <c r="A1" s="8" t="s">
        <v>3</v>
      </c>
      <c r="B1" s="2" t="s">
        <v>10</v>
      </c>
    </row>
    <row r="2" spans="1:7" x14ac:dyDescent="0.2">
      <c r="A2" s="8" t="s">
        <v>6</v>
      </c>
      <c r="B2" s="2" t="s">
        <v>11</v>
      </c>
    </row>
    <row r="4" spans="1:7" x14ac:dyDescent="0.2">
      <c r="C4" s="86" t="s">
        <v>53</v>
      </c>
      <c r="D4" s="86"/>
      <c r="E4" s="86"/>
      <c r="F4" s="86"/>
      <c r="G4" s="86"/>
    </row>
    <row r="5" spans="1:7" x14ac:dyDescent="0.2">
      <c r="A5" s="3" t="s">
        <v>8</v>
      </c>
      <c r="B5" s="3" t="s">
        <v>54</v>
      </c>
      <c r="C5" s="3">
        <v>0</v>
      </c>
      <c r="D5" s="3">
        <v>25</v>
      </c>
      <c r="E5" s="3">
        <v>50</v>
      </c>
      <c r="F5" s="3">
        <v>75</v>
      </c>
      <c r="G5" s="3">
        <v>100</v>
      </c>
    </row>
    <row r="6" spans="1:7" ht="78.75" customHeight="1" x14ac:dyDescent="0.2">
      <c r="A6" s="24" t="s">
        <v>12</v>
      </c>
      <c r="B6" s="13" t="s">
        <v>55</v>
      </c>
      <c r="C6" s="5" t="s">
        <v>56</v>
      </c>
      <c r="D6" s="10"/>
      <c r="E6" s="5" t="s">
        <v>57</v>
      </c>
      <c r="F6" s="5"/>
      <c r="G6" s="5" t="s">
        <v>58</v>
      </c>
    </row>
    <row r="7" spans="1:7" ht="51" customHeight="1" x14ac:dyDescent="0.2">
      <c r="A7" s="24" t="s">
        <v>13</v>
      </c>
      <c r="B7" s="14" t="s">
        <v>59</v>
      </c>
      <c r="C7" s="7" t="s">
        <v>60</v>
      </c>
      <c r="D7" s="11"/>
      <c r="E7" s="7" t="s">
        <v>61</v>
      </c>
      <c r="F7" s="11"/>
      <c r="G7" s="7" t="s">
        <v>62</v>
      </c>
    </row>
    <row r="8" spans="1:7" ht="66" customHeight="1" x14ac:dyDescent="0.2">
      <c r="A8" s="24" t="s">
        <v>14</v>
      </c>
      <c r="B8" s="14" t="s">
        <v>63</v>
      </c>
      <c r="C8" s="7" t="s">
        <v>64</v>
      </c>
      <c r="D8" s="11"/>
      <c r="E8" s="7"/>
      <c r="F8" s="11"/>
      <c r="G8" s="7" t="s">
        <v>65</v>
      </c>
    </row>
    <row r="9" spans="1:7" ht="66" customHeight="1" x14ac:dyDescent="0.2">
      <c r="A9" s="24" t="s">
        <v>15</v>
      </c>
      <c r="B9" s="14" t="s">
        <v>66</v>
      </c>
      <c r="C9" s="7" t="s">
        <v>67</v>
      </c>
      <c r="D9" s="11"/>
      <c r="E9" s="7"/>
      <c r="F9" s="11"/>
      <c r="G9" s="7" t="s">
        <v>66</v>
      </c>
    </row>
    <row r="13" spans="1:7" x14ac:dyDescent="0.2">
      <c r="A13" s="8" t="s">
        <v>6</v>
      </c>
      <c r="B13" s="2" t="s">
        <v>16</v>
      </c>
    </row>
    <row r="15" spans="1:7" x14ac:dyDescent="0.2">
      <c r="C15" s="87" t="s">
        <v>53</v>
      </c>
      <c r="D15" s="87"/>
      <c r="E15" s="87"/>
      <c r="F15" s="87"/>
      <c r="G15" s="87"/>
    </row>
    <row r="16" spans="1:7" x14ac:dyDescent="0.2">
      <c r="A16" s="3" t="s">
        <v>8</v>
      </c>
      <c r="B16" s="3" t="s">
        <v>54</v>
      </c>
      <c r="C16" s="3">
        <v>0</v>
      </c>
      <c r="D16" s="3">
        <v>25</v>
      </c>
      <c r="E16" s="3">
        <v>50</v>
      </c>
      <c r="F16" s="3">
        <v>75</v>
      </c>
      <c r="G16" s="3">
        <v>100</v>
      </c>
    </row>
    <row r="17" spans="1:7" ht="109.5" customHeight="1" x14ac:dyDescent="0.2">
      <c r="A17" s="26" t="s">
        <v>68</v>
      </c>
      <c r="B17" s="14" t="s">
        <v>69</v>
      </c>
      <c r="C17" s="7" t="s">
        <v>70</v>
      </c>
      <c r="D17" s="7"/>
      <c r="E17" s="7" t="s">
        <v>71</v>
      </c>
      <c r="F17" s="7"/>
      <c r="G17" s="7" t="s">
        <v>72</v>
      </c>
    </row>
    <row r="18" spans="1:7" ht="81" customHeight="1" x14ac:dyDescent="0.2">
      <c r="A18" s="39" t="s">
        <v>73</v>
      </c>
      <c r="B18" s="40" t="s">
        <v>74</v>
      </c>
      <c r="C18" s="41" t="s">
        <v>75</v>
      </c>
      <c r="D18" s="41"/>
      <c r="E18" s="41"/>
      <c r="F18" s="41"/>
      <c r="G18" s="41" t="s">
        <v>76</v>
      </c>
    </row>
    <row r="19" spans="1:7" x14ac:dyDescent="0.2">
      <c r="A19" s="25"/>
    </row>
  </sheetData>
  <mergeCells count="2">
    <mergeCell ref="C4:G4"/>
    <mergeCell ref="C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7AF4-DD03-4AE3-AD4D-C4EF2F61208E}">
  <dimension ref="A1:G19"/>
  <sheetViews>
    <sheetView topLeftCell="A7" zoomScale="75" zoomScaleNormal="70" workbookViewId="0">
      <selection activeCell="G10" sqref="G10"/>
    </sheetView>
  </sheetViews>
  <sheetFormatPr baseColWidth="10" defaultColWidth="8.83203125" defaultRowHeight="15" x14ac:dyDescent="0.2"/>
  <cols>
    <col min="1" max="1" width="33.33203125" customWidth="1"/>
    <col min="2" max="2" width="30.83203125" bestFit="1" customWidth="1"/>
    <col min="3" max="3" width="23.5" customWidth="1"/>
    <col min="4" max="4" width="9.83203125" customWidth="1"/>
    <col min="5" max="5" width="24.33203125" customWidth="1"/>
    <col min="6" max="6" width="10.6640625" customWidth="1"/>
    <col min="7" max="7" width="25.5" customWidth="1"/>
  </cols>
  <sheetData>
    <row r="1" spans="1:7" x14ac:dyDescent="0.2">
      <c r="A1" s="17" t="s">
        <v>3</v>
      </c>
      <c r="B1" s="11" t="s">
        <v>19</v>
      </c>
      <c r="C1" s="9"/>
      <c r="D1" s="9"/>
      <c r="E1" s="9"/>
      <c r="F1" s="9"/>
      <c r="G1" s="9"/>
    </row>
    <row r="2" spans="1:7" x14ac:dyDescent="0.2">
      <c r="A2" s="17" t="s">
        <v>6</v>
      </c>
      <c r="B2" s="11" t="s">
        <v>20</v>
      </c>
      <c r="C2" s="9"/>
      <c r="D2" s="9"/>
      <c r="E2" s="9"/>
      <c r="F2" s="9"/>
      <c r="G2" s="9"/>
    </row>
    <row r="3" spans="1:7" x14ac:dyDescent="0.2">
      <c r="A3" s="9"/>
      <c r="B3" s="9"/>
      <c r="C3" s="9"/>
      <c r="D3" s="9"/>
      <c r="E3" s="9"/>
      <c r="F3" s="9"/>
      <c r="G3" s="9"/>
    </row>
    <row r="4" spans="1:7" x14ac:dyDescent="0.2">
      <c r="A4" s="9"/>
      <c r="B4" s="9"/>
      <c r="C4" s="88" t="s">
        <v>53</v>
      </c>
      <c r="D4" s="88"/>
      <c r="E4" s="88"/>
      <c r="F4" s="88"/>
      <c r="G4" s="88"/>
    </row>
    <row r="5" spans="1:7" x14ac:dyDescent="0.2">
      <c r="A5" s="17" t="s">
        <v>8</v>
      </c>
      <c r="B5" s="17" t="s">
        <v>54</v>
      </c>
      <c r="C5" s="17">
        <v>0</v>
      </c>
      <c r="D5" s="17">
        <v>25</v>
      </c>
      <c r="E5" s="17">
        <v>50</v>
      </c>
      <c r="F5" s="17">
        <v>75</v>
      </c>
      <c r="G5" s="17">
        <v>100</v>
      </c>
    </row>
    <row r="6" spans="1:7" ht="32" x14ac:dyDescent="0.2">
      <c r="A6" s="35" t="s">
        <v>77</v>
      </c>
      <c r="B6" s="13" t="s">
        <v>78</v>
      </c>
      <c r="C6" s="5" t="s">
        <v>79</v>
      </c>
      <c r="D6" s="5"/>
      <c r="E6" s="5" t="s">
        <v>80</v>
      </c>
      <c r="F6" s="5"/>
      <c r="G6" s="5" t="s">
        <v>81</v>
      </c>
    </row>
    <row r="7" spans="1:7" ht="115.25" customHeight="1" x14ac:dyDescent="0.2">
      <c r="A7" s="35" t="s">
        <v>82</v>
      </c>
      <c r="B7" s="14" t="s">
        <v>83</v>
      </c>
      <c r="C7" s="7" t="s">
        <v>84</v>
      </c>
      <c r="D7" s="7"/>
      <c r="E7" s="29"/>
      <c r="F7" s="7"/>
      <c r="G7" s="7" t="s">
        <v>85</v>
      </c>
    </row>
    <row r="8" spans="1:7" ht="132" customHeight="1" x14ac:dyDescent="0.2">
      <c r="A8" s="35" t="s">
        <v>86</v>
      </c>
      <c r="B8" s="14" t="s">
        <v>87</v>
      </c>
      <c r="C8" s="7" t="s">
        <v>88</v>
      </c>
      <c r="D8" s="7"/>
      <c r="E8" s="7" t="s">
        <v>89</v>
      </c>
      <c r="F8" s="7"/>
      <c r="G8" s="7" t="s">
        <v>90</v>
      </c>
    </row>
    <row r="9" spans="1:7" ht="134" customHeight="1" x14ac:dyDescent="0.2">
      <c r="A9" s="35" t="s">
        <v>91</v>
      </c>
      <c r="B9" s="15" t="s">
        <v>92</v>
      </c>
      <c r="C9" s="12" t="s">
        <v>93</v>
      </c>
      <c r="D9" s="12"/>
      <c r="E9" s="12" t="s">
        <v>94</v>
      </c>
      <c r="F9" s="12"/>
      <c r="G9" s="12" t="s">
        <v>95</v>
      </c>
    </row>
    <row r="10" spans="1:7" ht="137.5" customHeight="1" x14ac:dyDescent="0.2">
      <c r="A10" s="36" t="s">
        <v>96</v>
      </c>
      <c r="B10" s="22" t="s">
        <v>97</v>
      </c>
      <c r="C10" s="21" t="s">
        <v>98</v>
      </c>
      <c r="D10" s="21"/>
      <c r="E10" s="21"/>
      <c r="F10" s="21"/>
      <c r="G10" s="21" t="s">
        <v>99</v>
      </c>
    </row>
    <row r="13" spans="1:7" x14ac:dyDescent="0.2">
      <c r="A13" s="17" t="s">
        <v>6</v>
      </c>
      <c r="B13" s="11" t="s">
        <v>26</v>
      </c>
      <c r="C13" s="9"/>
      <c r="D13" s="9"/>
      <c r="E13" s="9"/>
      <c r="F13" s="9"/>
      <c r="G13" s="9"/>
    </row>
    <row r="14" spans="1:7" x14ac:dyDescent="0.2">
      <c r="A14" s="9"/>
      <c r="B14" s="9"/>
      <c r="C14" s="9"/>
      <c r="D14" s="9"/>
      <c r="E14" s="9"/>
      <c r="F14" s="9"/>
      <c r="G14" s="9"/>
    </row>
    <row r="15" spans="1:7" x14ac:dyDescent="0.2">
      <c r="A15" s="9"/>
      <c r="B15" s="9"/>
      <c r="C15" s="88" t="s">
        <v>53</v>
      </c>
      <c r="D15" s="88"/>
      <c r="E15" s="88"/>
      <c r="F15" s="88"/>
      <c r="G15" s="88"/>
    </row>
    <row r="16" spans="1:7" x14ac:dyDescent="0.2">
      <c r="A16" s="17" t="s">
        <v>8</v>
      </c>
      <c r="B16" s="17" t="s">
        <v>54</v>
      </c>
      <c r="C16" s="17">
        <v>0</v>
      </c>
      <c r="D16" s="17">
        <v>25</v>
      </c>
      <c r="E16" s="17">
        <v>50</v>
      </c>
      <c r="F16" s="17">
        <v>75</v>
      </c>
      <c r="G16" s="17">
        <v>100</v>
      </c>
    </row>
    <row r="17" spans="1:7" ht="93" customHeight="1" x14ac:dyDescent="0.2">
      <c r="A17" s="33" t="s">
        <v>100</v>
      </c>
      <c r="B17" s="34" t="s">
        <v>101</v>
      </c>
      <c r="C17" s="34" t="s">
        <v>102</v>
      </c>
      <c r="D17" s="34"/>
      <c r="E17" s="34" t="s">
        <v>103</v>
      </c>
      <c r="F17" s="34"/>
      <c r="G17" s="34" t="s">
        <v>104</v>
      </c>
    </row>
    <row r="18" spans="1:7" ht="98" customHeight="1" x14ac:dyDescent="0.2">
      <c r="A18" s="33" t="s">
        <v>105</v>
      </c>
      <c r="B18" s="34" t="s">
        <v>106</v>
      </c>
      <c r="C18" s="34" t="s">
        <v>107</v>
      </c>
      <c r="D18" s="34"/>
      <c r="E18" s="34" t="s">
        <v>108</v>
      </c>
      <c r="F18" s="34"/>
      <c r="G18" s="34" t="s">
        <v>109</v>
      </c>
    </row>
    <row r="19" spans="1:7" ht="65" customHeight="1" x14ac:dyDescent="0.2">
      <c r="A19" s="33" t="s">
        <v>110</v>
      </c>
      <c r="B19" s="34" t="s">
        <v>111</v>
      </c>
      <c r="C19" s="34" t="s">
        <v>112</v>
      </c>
      <c r="D19" s="37"/>
      <c r="E19" s="37" t="s">
        <v>113</v>
      </c>
      <c r="F19" s="37"/>
      <c r="G19" s="37" t="s">
        <v>114</v>
      </c>
    </row>
  </sheetData>
  <mergeCells count="2">
    <mergeCell ref="C4:G4"/>
    <mergeCell ref="C15:G1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0692-1B10-44E7-87EE-1C891327C72B}">
  <dimension ref="A1:G22"/>
  <sheetViews>
    <sheetView topLeftCell="A9" zoomScaleNormal="100" workbookViewId="0">
      <selection activeCell="E22" sqref="E22"/>
    </sheetView>
  </sheetViews>
  <sheetFormatPr baseColWidth="10" defaultColWidth="8.83203125" defaultRowHeight="15" x14ac:dyDescent="0.2"/>
  <cols>
    <col min="1" max="2" width="35.6640625" customWidth="1"/>
    <col min="3" max="7" width="25.6640625" customWidth="1"/>
  </cols>
  <sheetData>
    <row r="1" spans="1:7" x14ac:dyDescent="0.2">
      <c r="A1" s="17" t="s">
        <v>3</v>
      </c>
      <c r="B1" s="11" t="s">
        <v>30</v>
      </c>
      <c r="C1" s="9"/>
      <c r="D1" s="9"/>
      <c r="E1" s="9"/>
      <c r="F1" s="9"/>
      <c r="G1" s="9"/>
    </row>
    <row r="2" spans="1:7" x14ac:dyDescent="0.2">
      <c r="A2" s="17" t="s">
        <v>6</v>
      </c>
      <c r="B2" s="11" t="s">
        <v>31</v>
      </c>
      <c r="C2" s="6"/>
      <c r="D2" s="6"/>
      <c r="E2" s="6"/>
      <c r="F2" s="6"/>
      <c r="G2" s="6"/>
    </row>
    <row r="3" spans="1:7" x14ac:dyDescent="0.2">
      <c r="A3" s="9"/>
      <c r="B3" s="9"/>
      <c r="C3" s="6"/>
      <c r="D3" s="6"/>
      <c r="E3" s="6"/>
      <c r="F3" s="6"/>
      <c r="G3" s="6"/>
    </row>
    <row r="4" spans="1:7" x14ac:dyDescent="0.2">
      <c r="A4" s="9"/>
      <c r="B4" s="9"/>
      <c r="C4" s="89" t="s">
        <v>53</v>
      </c>
      <c r="D4" s="89"/>
      <c r="E4" s="89"/>
      <c r="F4" s="89"/>
      <c r="G4" s="89"/>
    </row>
    <row r="5" spans="1:7" x14ac:dyDescent="0.2">
      <c r="A5" s="17" t="s">
        <v>8</v>
      </c>
      <c r="B5" s="17" t="s">
        <v>54</v>
      </c>
      <c r="C5" s="18">
        <v>0</v>
      </c>
      <c r="D5" s="18">
        <v>25</v>
      </c>
      <c r="E5" s="18">
        <v>50</v>
      </c>
      <c r="F5" s="18">
        <v>75</v>
      </c>
      <c r="G5" s="18">
        <v>100</v>
      </c>
    </row>
    <row r="6" spans="1:7" ht="50.25" customHeight="1" x14ac:dyDescent="0.2">
      <c r="A6" s="45" t="s">
        <v>115</v>
      </c>
      <c r="B6" s="13" t="s">
        <v>116</v>
      </c>
      <c r="C6" s="5" t="s">
        <v>117</v>
      </c>
      <c r="D6" s="5"/>
      <c r="E6" s="5"/>
      <c r="F6" s="5"/>
      <c r="G6" s="5" t="s">
        <v>118</v>
      </c>
    </row>
    <row r="7" spans="1:7" ht="81" customHeight="1" x14ac:dyDescent="0.2">
      <c r="A7" s="45" t="s">
        <v>119</v>
      </c>
      <c r="B7" s="13" t="s">
        <v>120</v>
      </c>
      <c r="C7" s="5" t="s">
        <v>121</v>
      </c>
      <c r="D7" s="5"/>
      <c r="E7" s="5" t="s">
        <v>122</v>
      </c>
      <c r="F7" s="5"/>
      <c r="G7" s="5" t="s">
        <v>123</v>
      </c>
    </row>
    <row r="8" spans="1:7" ht="81" customHeight="1" x14ac:dyDescent="0.2">
      <c r="A8" s="45" t="s">
        <v>124</v>
      </c>
      <c r="B8" s="14" t="s">
        <v>125</v>
      </c>
      <c r="C8" s="7" t="s">
        <v>126</v>
      </c>
      <c r="D8" s="7"/>
      <c r="E8" s="7"/>
      <c r="F8" s="7"/>
      <c r="G8" s="7" t="s">
        <v>127</v>
      </c>
    </row>
    <row r="9" spans="1:7" ht="81" customHeight="1" x14ac:dyDescent="0.2">
      <c r="A9" s="47" t="s">
        <v>128</v>
      </c>
      <c r="B9" s="15" t="s">
        <v>129</v>
      </c>
      <c r="C9" s="12" t="s">
        <v>130</v>
      </c>
      <c r="D9" s="12"/>
      <c r="E9" s="12"/>
      <c r="F9" s="12"/>
      <c r="G9" s="12" t="s">
        <v>131</v>
      </c>
    </row>
    <row r="10" spans="1:7" ht="80" x14ac:dyDescent="0.2">
      <c r="A10" s="45" t="s">
        <v>132</v>
      </c>
      <c r="B10" s="13" t="s">
        <v>133</v>
      </c>
      <c r="C10" s="5" t="s">
        <v>134</v>
      </c>
      <c r="D10" s="5"/>
      <c r="E10" s="5" t="s">
        <v>135</v>
      </c>
      <c r="F10" s="5"/>
      <c r="G10" s="5" t="s">
        <v>136</v>
      </c>
    </row>
    <row r="11" spans="1:7" ht="32" x14ac:dyDescent="0.2">
      <c r="A11" s="45" t="s">
        <v>137</v>
      </c>
      <c r="B11" s="30" t="s">
        <v>138</v>
      </c>
      <c r="C11" s="31" t="s">
        <v>139</v>
      </c>
      <c r="D11" s="31"/>
      <c r="E11" s="31"/>
      <c r="F11" s="31"/>
      <c r="G11" s="31" t="s">
        <v>140</v>
      </c>
    </row>
    <row r="12" spans="1:7" ht="48" x14ac:dyDescent="0.2">
      <c r="A12" s="46" t="s">
        <v>141</v>
      </c>
      <c r="B12" s="22" t="s">
        <v>142</v>
      </c>
      <c r="C12" s="21" t="s">
        <v>143</v>
      </c>
      <c r="D12" s="21"/>
      <c r="E12" s="21"/>
      <c r="F12" s="21"/>
      <c r="G12" s="21" t="s">
        <v>144</v>
      </c>
    </row>
    <row r="13" spans="1:7" x14ac:dyDescent="0.2">
      <c r="A13" s="9"/>
      <c r="B13" s="9"/>
      <c r="C13" s="6"/>
      <c r="D13" s="6"/>
      <c r="E13" s="6"/>
      <c r="F13" s="6"/>
      <c r="G13" s="6"/>
    </row>
    <row r="14" spans="1:7" x14ac:dyDescent="0.2">
      <c r="A14" s="9"/>
      <c r="B14" s="9"/>
      <c r="C14" s="6"/>
      <c r="D14" s="6"/>
      <c r="E14" s="6"/>
      <c r="F14" s="6"/>
      <c r="G14" s="6"/>
    </row>
    <row r="15" spans="1:7" x14ac:dyDescent="0.2">
      <c r="C15" s="6"/>
      <c r="D15" s="6"/>
      <c r="E15" s="6"/>
      <c r="F15" s="6"/>
      <c r="G15" s="6"/>
    </row>
    <row r="16" spans="1:7" x14ac:dyDescent="0.2">
      <c r="A16" s="17" t="s">
        <v>6</v>
      </c>
      <c r="B16" s="11" t="s">
        <v>145</v>
      </c>
      <c r="C16" s="6"/>
      <c r="D16" s="6"/>
      <c r="E16" s="6"/>
      <c r="F16" s="6"/>
      <c r="G16" s="6"/>
    </row>
    <row r="17" spans="1:7" x14ac:dyDescent="0.2">
      <c r="A17" s="9"/>
      <c r="B17" s="9"/>
      <c r="C17" s="6"/>
      <c r="D17" s="6"/>
      <c r="E17" s="6"/>
      <c r="F17" s="6"/>
      <c r="G17" s="6"/>
    </row>
    <row r="18" spans="1:7" x14ac:dyDescent="0.2">
      <c r="A18" s="9"/>
      <c r="B18" s="9"/>
      <c r="C18" s="89" t="s">
        <v>53</v>
      </c>
      <c r="D18" s="89"/>
      <c r="E18" s="89"/>
      <c r="F18" s="89"/>
      <c r="G18" s="89"/>
    </row>
    <row r="19" spans="1:7" x14ac:dyDescent="0.2">
      <c r="A19" s="17" t="s">
        <v>8</v>
      </c>
      <c r="B19" s="17" t="s">
        <v>54</v>
      </c>
      <c r="C19" s="18">
        <v>0</v>
      </c>
      <c r="D19" s="18">
        <v>25</v>
      </c>
      <c r="E19" s="18">
        <v>50</v>
      </c>
      <c r="F19" s="18">
        <v>75</v>
      </c>
      <c r="G19" s="18">
        <v>100</v>
      </c>
    </row>
    <row r="20" spans="1:7" ht="57.75" customHeight="1" x14ac:dyDescent="0.2">
      <c r="A20" s="23" t="s">
        <v>146</v>
      </c>
      <c r="B20" s="19" t="s">
        <v>147</v>
      </c>
      <c r="C20" s="5" t="s">
        <v>148</v>
      </c>
      <c r="D20" s="20"/>
      <c r="E20" s="20" t="s">
        <v>149</v>
      </c>
      <c r="F20" s="20"/>
      <c r="G20" s="20" t="s">
        <v>150</v>
      </c>
    </row>
    <row r="21" spans="1:7" ht="50.25" customHeight="1" x14ac:dyDescent="0.2">
      <c r="A21" s="23" t="s">
        <v>151</v>
      </c>
      <c r="B21" s="14" t="s">
        <v>152</v>
      </c>
      <c r="C21" s="7" t="s">
        <v>153</v>
      </c>
      <c r="D21" s="7"/>
      <c r="E21" s="7" t="s">
        <v>154</v>
      </c>
      <c r="F21" s="7"/>
      <c r="G21" s="7" t="s">
        <v>155</v>
      </c>
    </row>
    <row r="22" spans="1:7" ht="65.5" customHeight="1" x14ac:dyDescent="0.2">
      <c r="A22" s="23" t="s">
        <v>156</v>
      </c>
      <c r="B22" s="22" t="s">
        <v>157</v>
      </c>
      <c r="C22" s="21" t="s">
        <v>158</v>
      </c>
      <c r="D22" s="21"/>
      <c r="E22" s="21" t="s">
        <v>159</v>
      </c>
      <c r="F22" s="21"/>
      <c r="G22" s="21" t="s">
        <v>160</v>
      </c>
    </row>
  </sheetData>
  <mergeCells count="2">
    <mergeCell ref="C4:G4"/>
    <mergeCell ref="C18:G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3AB6-11FA-4A9C-AF62-1AB11EA938BC}">
  <dimension ref="A1:L18"/>
  <sheetViews>
    <sheetView topLeftCell="A4" zoomScale="84" workbookViewId="0">
      <selection activeCell="E8" sqref="E8"/>
    </sheetView>
  </sheetViews>
  <sheetFormatPr baseColWidth="10" defaultColWidth="8.83203125" defaultRowHeight="15" x14ac:dyDescent="0.2"/>
  <cols>
    <col min="1" max="2" width="35.6640625" customWidth="1"/>
    <col min="3" max="7" width="25.6640625" customWidth="1"/>
    <col min="12" max="12" width="10.83203125" customWidth="1"/>
    <col min="14" max="14" width="65.1640625" customWidth="1"/>
  </cols>
  <sheetData>
    <row r="1" spans="1:12" x14ac:dyDescent="0.2">
      <c r="A1" s="4" t="s">
        <v>3</v>
      </c>
      <c r="B1" s="2" t="s">
        <v>161</v>
      </c>
    </row>
    <row r="2" spans="1:12" x14ac:dyDescent="0.2">
      <c r="A2" s="4" t="s">
        <v>6</v>
      </c>
      <c r="B2" s="2" t="s">
        <v>44</v>
      </c>
    </row>
    <row r="4" spans="1:12" x14ac:dyDescent="0.2">
      <c r="C4" s="86" t="s">
        <v>53</v>
      </c>
      <c r="D4" s="86"/>
      <c r="E4" s="86"/>
      <c r="F4" s="86"/>
      <c r="G4" s="86"/>
      <c r="I4" s="16"/>
      <c r="K4" s="16"/>
      <c r="L4" s="16"/>
    </row>
    <row r="5" spans="1:12" x14ac:dyDescent="0.2">
      <c r="A5" s="3" t="s">
        <v>8</v>
      </c>
      <c r="B5" s="3" t="s">
        <v>54</v>
      </c>
      <c r="C5" s="3">
        <v>0</v>
      </c>
      <c r="D5" s="3">
        <v>25</v>
      </c>
      <c r="E5" s="3">
        <v>50</v>
      </c>
      <c r="F5" s="3">
        <v>75</v>
      </c>
      <c r="G5" s="3">
        <v>100</v>
      </c>
      <c r="I5" s="16"/>
      <c r="K5" s="16"/>
      <c r="L5" s="16"/>
    </row>
    <row r="6" spans="1:12" ht="105" customHeight="1" x14ac:dyDescent="0.2">
      <c r="A6" s="27" t="s">
        <v>162</v>
      </c>
      <c r="B6" s="19" t="s">
        <v>163</v>
      </c>
      <c r="C6" s="20" t="s">
        <v>164</v>
      </c>
      <c r="D6" s="20"/>
      <c r="E6" s="20"/>
      <c r="F6" s="20"/>
      <c r="G6" s="20" t="s">
        <v>165</v>
      </c>
      <c r="I6" s="16"/>
      <c r="K6" s="16"/>
      <c r="L6" s="16"/>
    </row>
    <row r="7" spans="1:12" ht="85.25" customHeight="1" x14ac:dyDescent="0.2">
      <c r="A7" s="32" t="s">
        <v>166</v>
      </c>
      <c r="B7" s="22" t="s">
        <v>167</v>
      </c>
      <c r="C7" s="21" t="s">
        <v>168</v>
      </c>
      <c r="D7" s="21"/>
      <c r="E7" s="21" t="s">
        <v>169</v>
      </c>
      <c r="F7" s="21"/>
      <c r="G7" s="21" t="s">
        <v>170</v>
      </c>
      <c r="I7" s="16"/>
      <c r="K7" s="16"/>
      <c r="L7" s="16"/>
    </row>
    <row r="8" spans="1:12" ht="85.25" customHeight="1" x14ac:dyDescent="0.2">
      <c r="A8" s="38" t="s">
        <v>171</v>
      </c>
      <c r="B8" s="22" t="s">
        <v>172</v>
      </c>
      <c r="C8" s="21" t="s">
        <v>173</v>
      </c>
      <c r="D8" s="21" t="s">
        <v>174</v>
      </c>
      <c r="E8" s="21" t="s">
        <v>175</v>
      </c>
      <c r="F8" s="21" t="s">
        <v>176</v>
      </c>
      <c r="G8" s="21" t="s">
        <v>177</v>
      </c>
      <c r="I8" s="16"/>
      <c r="K8" s="16"/>
      <c r="L8" s="16"/>
    </row>
    <row r="9" spans="1:12" ht="85.25" customHeight="1" x14ac:dyDescent="0.2">
      <c r="A9" s="38" t="s">
        <v>178</v>
      </c>
      <c r="B9" s="22" t="s">
        <v>179</v>
      </c>
      <c r="C9" s="21" t="s">
        <v>180</v>
      </c>
      <c r="D9" s="21"/>
      <c r="E9" s="21" t="s">
        <v>181</v>
      </c>
      <c r="F9" s="21"/>
      <c r="G9" s="21" t="s">
        <v>182</v>
      </c>
      <c r="I9" s="16"/>
      <c r="K9" s="16"/>
      <c r="L9" s="16"/>
    </row>
    <row r="10" spans="1:12" ht="61.25" customHeight="1" x14ac:dyDescent="0.2">
      <c r="A10" s="32" t="s">
        <v>183</v>
      </c>
      <c r="B10" s="22" t="s">
        <v>184</v>
      </c>
      <c r="C10" s="21" t="s">
        <v>185</v>
      </c>
      <c r="D10" s="21"/>
      <c r="E10" s="21"/>
      <c r="F10" s="21"/>
      <c r="G10" s="21" t="s">
        <v>186</v>
      </c>
      <c r="I10" s="16"/>
      <c r="K10" s="16"/>
      <c r="L10" s="16"/>
    </row>
    <row r="11" spans="1:12" x14ac:dyDescent="0.2">
      <c r="I11" s="16"/>
      <c r="K11" s="16"/>
      <c r="L11" s="16"/>
    </row>
    <row r="13" spans="1:12" x14ac:dyDescent="0.2">
      <c r="A13" s="4" t="s">
        <v>6</v>
      </c>
      <c r="B13" s="2" t="s">
        <v>50</v>
      </c>
    </row>
    <row r="15" spans="1:12" x14ac:dyDescent="0.2">
      <c r="C15" s="86" t="s">
        <v>53</v>
      </c>
      <c r="D15" s="86"/>
      <c r="E15" s="86"/>
      <c r="F15" s="86"/>
      <c r="G15" s="86"/>
    </row>
    <row r="16" spans="1:12" x14ac:dyDescent="0.2">
      <c r="A16" s="3" t="s">
        <v>8</v>
      </c>
      <c r="B16" s="3" t="s">
        <v>54</v>
      </c>
      <c r="C16" s="3">
        <v>0</v>
      </c>
      <c r="D16" s="3">
        <v>25</v>
      </c>
      <c r="E16" s="3">
        <v>50</v>
      </c>
      <c r="F16" s="3">
        <v>75</v>
      </c>
      <c r="G16" s="3">
        <v>100</v>
      </c>
    </row>
    <row r="17" spans="1:7" ht="78" customHeight="1" x14ac:dyDescent="0.2">
      <c r="A17" s="28" t="s">
        <v>187</v>
      </c>
      <c r="B17" s="13" t="s">
        <v>188</v>
      </c>
      <c r="C17" s="5" t="s">
        <v>189</v>
      </c>
      <c r="D17" s="5"/>
      <c r="E17" s="5" t="s">
        <v>190</v>
      </c>
      <c r="F17" s="5"/>
      <c r="G17" s="5" t="s">
        <v>191</v>
      </c>
    </row>
    <row r="18" spans="1:7" ht="93" customHeight="1" x14ac:dyDescent="0.2">
      <c r="A18" s="28" t="s">
        <v>192</v>
      </c>
      <c r="B18" s="14" t="s">
        <v>193</v>
      </c>
      <c r="C18" s="7" t="s">
        <v>194</v>
      </c>
      <c r="D18" s="7"/>
      <c r="E18" s="7" t="s">
        <v>195</v>
      </c>
      <c r="F18" s="7"/>
      <c r="G18" s="7" t="s">
        <v>196</v>
      </c>
    </row>
  </sheetData>
  <mergeCells count="2">
    <mergeCell ref="C15:G15"/>
    <mergeCell ref="C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890A-9AA6-452B-B874-BE12BA0158FA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197</v>
      </c>
    </row>
    <row r="2" spans="1:1" x14ac:dyDescent="0.2">
      <c r="A2" s="1" t="s">
        <v>198</v>
      </c>
    </row>
    <row r="3" spans="1:1" x14ac:dyDescent="0.2">
      <c r="A3" s="1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d5fd9b-a736-4fcf-8069-db059c720ea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E5E25E216B66488972118ED05BC23D" ma:contentTypeVersion="9" ma:contentTypeDescription="Create a new document." ma:contentTypeScope="" ma:versionID="1b8f8030b1ce4fdd40244550301cea4a">
  <xsd:schema xmlns:xsd="http://www.w3.org/2001/XMLSchema" xmlns:xs="http://www.w3.org/2001/XMLSchema" xmlns:p="http://schemas.microsoft.com/office/2006/metadata/properties" xmlns:ns3="3cd5fd9b-a736-4fcf-8069-db059c720ea6" xmlns:ns4="d440f6d8-d636-4c96-a99d-eedb8d8cdb8f" targetNamespace="http://schemas.microsoft.com/office/2006/metadata/properties" ma:root="true" ma:fieldsID="da4e53c1fc95c3f82ee35be7409b1ede" ns3:_="" ns4:_="">
    <xsd:import namespace="3cd5fd9b-a736-4fcf-8069-db059c720ea6"/>
    <xsd:import namespace="d440f6d8-d636-4c96-a99d-eedb8d8cdb8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5fd9b-a736-4fcf-8069-db059c720e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0f6d8-d636-4c96-a99d-eedb8d8cdb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8F117B-627C-405D-B175-B7E1A25B6565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3cd5fd9b-a736-4fcf-8069-db059c720ea6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d440f6d8-d636-4c96-a99d-eedb8d8cdb8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74EB23B-E61C-470C-B8B9-DB20AFA6A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d5fd9b-a736-4fcf-8069-db059c720ea6"/>
    <ds:schemaRef ds:uri="d440f6d8-d636-4c96-a99d-eedb8d8cd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C2B33-6AFD-41E8-AB3C-E7C7E1B31A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QEF</vt:lpstr>
      <vt:lpstr>Functionality</vt:lpstr>
      <vt:lpstr>Accessibility</vt:lpstr>
      <vt:lpstr>Aesthetic</vt:lpstr>
      <vt:lpstr>Usability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Escudeiro</dc:creator>
  <cp:keywords/>
  <dc:description/>
  <cp:lastModifiedBy>Paula Escudeiro</cp:lastModifiedBy>
  <cp:revision/>
  <dcterms:created xsi:type="dcterms:W3CDTF">2006-09-16T00:00:00Z</dcterms:created>
  <dcterms:modified xsi:type="dcterms:W3CDTF">2024-12-09T15:21:02Z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0x010100B5E5E25E216B66488972118ED05BC23D</vt:lpwstr>
  </property>
  <property fmtid="{D5CDD505-2E9C-101B-9397-08002B2CF9AE}" pid="3" name="MediaServiceImageTags">
    <vt:lpwstr/>
  </property>
</Properties>
</file>