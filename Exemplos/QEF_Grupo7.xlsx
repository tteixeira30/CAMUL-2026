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nca\Desktop\"/>
    </mc:Choice>
  </mc:AlternateContent>
  <xr:revisionPtr revIDLastSave="0" documentId="13_ncr:1_{824CC279-8401-4FF4-95C4-6B5C17AD2F0C}" xr6:coauthVersionLast="47" xr6:coauthVersionMax="47" xr10:uidLastSave="{00000000-0000-0000-0000-000000000000}"/>
  <bookViews>
    <workbookView xWindow="-120" yWindow="-120" windowWidth="29040" windowHeight="15720" xr2:uid="{A7CFAA7A-3167-4476-9CFE-7A181CC614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1" l="1"/>
  <c r="E17" i="1"/>
  <c r="E15" i="1"/>
  <c r="E13" i="1"/>
  <c r="C13" i="1" s="1"/>
  <c r="E11" i="1"/>
  <c r="E12" i="1"/>
  <c r="E10" i="1"/>
  <c r="C10" i="1" s="1"/>
  <c r="E8" i="1"/>
  <c r="E2" i="1"/>
  <c r="E3" i="1"/>
  <c r="E4" i="1"/>
  <c r="E5" i="1"/>
  <c r="E6" i="1"/>
  <c r="E7" i="1"/>
  <c r="F17" i="1"/>
  <c r="F16" i="1"/>
  <c r="F13" i="1"/>
  <c r="F15" i="1"/>
  <c r="F12" i="1"/>
  <c r="F11" i="1"/>
  <c r="F10" i="1"/>
  <c r="F8" i="1"/>
  <c r="F7" i="1"/>
  <c r="F6" i="1"/>
  <c r="F5" i="1"/>
  <c r="F4" i="1"/>
  <c r="F3" i="1"/>
  <c r="F2" i="1"/>
  <c r="C2" i="1" l="1"/>
  <c r="B2" i="1" l="1"/>
  <c r="A2" i="1"/>
</calcChain>
</file>

<file path=xl/sharedStrings.xml><?xml version="1.0" encoding="utf-8"?>
<sst xmlns="http://schemas.openxmlformats.org/spreadsheetml/2006/main" count="43" uniqueCount="39">
  <si>
    <t>q</t>
  </si>
  <si>
    <t>D</t>
  </si>
  <si>
    <t>Dimensão</t>
  </si>
  <si>
    <r>
      <t>W</t>
    </r>
    <r>
      <rPr>
        <sz val="8"/>
        <color theme="1"/>
        <rFont val="Calibri"/>
        <family val="2"/>
        <scheme val="minor"/>
      </rPr>
      <t>ij</t>
    </r>
  </si>
  <si>
    <r>
      <t>Q</t>
    </r>
    <r>
      <rPr>
        <sz val="8"/>
        <color theme="1"/>
        <rFont val="Calibri"/>
        <family val="2"/>
        <scheme val="minor"/>
      </rPr>
      <t>j</t>
    </r>
  </si>
  <si>
    <r>
      <t>Q</t>
    </r>
    <r>
      <rPr>
        <sz val="8"/>
        <color theme="1"/>
        <rFont val="Calibri"/>
        <family val="2"/>
        <scheme val="minor"/>
      </rPr>
      <t>i</t>
    </r>
  </si>
  <si>
    <t>Fator</t>
  </si>
  <si>
    <r>
      <t>rw</t>
    </r>
    <r>
      <rPr>
        <sz val="8"/>
        <color theme="1"/>
        <rFont val="Calibri"/>
        <family val="2"/>
        <scheme val="minor"/>
      </rPr>
      <t>jk</t>
    </r>
  </si>
  <si>
    <t>Requisitos</t>
  </si>
  <si>
    <r>
      <t>wf</t>
    </r>
    <r>
      <rPr>
        <sz val="8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 % [0,100]</t>
    </r>
  </si>
  <si>
    <t>Ritmo</t>
  </si>
  <si>
    <t>Equilíbrio</t>
  </si>
  <si>
    <t>Proporção</t>
  </si>
  <si>
    <t>Harmonia</t>
  </si>
  <si>
    <t>Variedade</t>
  </si>
  <si>
    <t>Movimento</t>
  </si>
  <si>
    <t>Simetria</t>
  </si>
  <si>
    <t>Alinhamento</t>
  </si>
  <si>
    <t>Contraste</t>
  </si>
  <si>
    <t>Unidade</t>
  </si>
  <si>
    <t>Todas as partes da composição demonstram pertencer juntas.</t>
  </si>
  <si>
    <t>A composição cativa o olhar do espectador para todos os elementos.</t>
  </si>
  <si>
    <t>Cor</t>
  </si>
  <si>
    <t>Utiliza esquemas crómaticos que funcionam em conjunto (Cores complementares, cores análogas...).</t>
  </si>
  <si>
    <t>Utiliza padrões e/ou formas repetidas dispostas de maneira randomizada ou altamente organizada.</t>
  </si>
  <si>
    <t>Utiliza cor, textura, linhas ou outros aspetos para apontar diferenças entre os sujeitos semelhantes da composição.</t>
  </si>
  <si>
    <t>Utiliza cor, textura, linhas ou outros aspetos para apontar semelhanças entre os sujeitos diferentes da composição.</t>
  </si>
  <si>
    <t>Direção</t>
  </si>
  <si>
    <t>Alinha os elementos simetricamente/assimetricamente.</t>
  </si>
  <si>
    <t>Posiciona os sujeitos da composição de maneira a oferecer um movimento claro.</t>
  </si>
  <si>
    <t>Espaço</t>
  </si>
  <si>
    <t>Equilibra o espaço negativo e positivo para oferecer descanso visual.</t>
  </si>
  <si>
    <t>Alinha os sujeitos da composição de maneira a oferecer uma direção compreensivel.</t>
  </si>
  <si>
    <t>Equilibra o espaço negativo e positivo para oferecer organização.</t>
  </si>
  <si>
    <t>Utiliza contraste entre as cores para oferecer destaque a certos elementos.</t>
  </si>
  <si>
    <t>Equilibra o espaço negativo e positivo para oferecer destaque.</t>
  </si>
  <si>
    <t>Atribui diferentes pesos visuais aos sujeitos da composição para enfatizar uma direção.</t>
  </si>
  <si>
    <t>Atribui diferentes pesos visuais aos sujeitos da composição para oferecer movimento.</t>
  </si>
  <si>
    <t>Atribui diferentes pesos visuais aos sujeitos da composição para os destacar.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</si>
</sst>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0" fillId="2" borderId="1" xfId="0" applyFill="1" applyBorder="1" applyAlignment="1">
      <alignment horizontal="center" vertical="center" wrapText="1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B8D0-6299-468A-AA85-53DBB34B8F34}">
  <dimension ref="A1:O17"/>
  <sheetViews>
    <sheetView tabSelected="1" workbookViewId="0">
      <selection activeCell="K7" sqref="K7"/>
    </sheetView>
  </sheetViews>
  <sheetFormatPr defaultRowHeight="15" x14ac:dyDescent="0.25"/>
  <cols>
    <col min="3" max="3" width="8.7109375" customWidth="1"/>
    <col min="4" max="4" width="14.7109375" bestFit="1" customWidth="1"/>
    <col min="7" max="7" width="14.7109375" bestFit="1" customWidth="1"/>
    <col min="8" max="8" width="8.5703125" customWidth="1"/>
    <col min="9" max="9" width="55.5703125" customWidth="1"/>
    <col min="10" max="10" width="18.140625" style="1" customWidth="1"/>
    <col min="20" max="20" width="103" customWidth="1"/>
  </cols>
  <sheetData>
    <row r="1" spans="1:15" ht="30.75" customHeight="1" x14ac:dyDescent="0.25">
      <c r="A1" s="3" t="s">
        <v>0</v>
      </c>
      <c r="B1" s="3" t="s">
        <v>1</v>
      </c>
      <c r="C1" s="3" t="s">
        <v>5</v>
      </c>
      <c r="D1" s="3" t="s">
        <v>2</v>
      </c>
      <c r="E1" s="3" t="s">
        <v>4</v>
      </c>
      <c r="F1" s="3" t="s">
        <v>3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5" ht="30" x14ac:dyDescent="0.25">
      <c r="A2" s="4">
        <f>(LOG(1+C2/100)+LOG(1+C10/100)+LOG(1+C13/100))/(3*LOG(2))</f>
        <v>0</v>
      </c>
      <c r="B2" s="5">
        <f>SQRT((1-C2/100)^2+(1-C10/100)^2+(1-C13/100)^2)</f>
        <v>1.7320508075688772</v>
      </c>
      <c r="C2" s="6">
        <f>SUMPRODUCT(E2:E9,F2:F9)</f>
        <v>0</v>
      </c>
      <c r="D2" s="7" t="s">
        <v>18</v>
      </c>
      <c r="E2" s="8">
        <f>(1/(SUM(H2)))*SUMPRODUCT(H2,J2)</f>
        <v>0</v>
      </c>
      <c r="F2" s="8">
        <f>COUNT(H2:H2)/COUNT(H2:H9)</f>
        <v>0.125</v>
      </c>
      <c r="G2" s="9" t="s">
        <v>10</v>
      </c>
      <c r="H2" s="8">
        <v>2</v>
      </c>
      <c r="I2" s="10" t="s">
        <v>24</v>
      </c>
      <c r="J2" s="11">
        <v>0</v>
      </c>
      <c r="O2" s="2"/>
    </row>
    <row r="3" spans="1:15" ht="30" x14ac:dyDescent="0.25">
      <c r="A3" s="4"/>
      <c r="B3" s="5"/>
      <c r="C3" s="6"/>
      <c r="D3" s="7"/>
      <c r="E3" s="8">
        <f t="shared" ref="E3:E7" si="0">(1/(SUM(H3)))*SUMPRODUCT(H3,J3)</f>
        <v>0</v>
      </c>
      <c r="F3" s="8">
        <f>COUNT(H3:H3)/COUNT(H2:H9)</f>
        <v>0.125</v>
      </c>
      <c r="G3" s="9" t="s">
        <v>12</v>
      </c>
      <c r="H3" s="8">
        <v>2</v>
      </c>
      <c r="I3" s="10" t="s">
        <v>38</v>
      </c>
      <c r="J3" s="11">
        <v>0</v>
      </c>
    </row>
    <row r="4" spans="1:15" ht="30" x14ac:dyDescent="0.25">
      <c r="A4" s="4"/>
      <c r="B4" s="5"/>
      <c r="C4" s="6"/>
      <c r="D4" s="7"/>
      <c r="E4" s="8">
        <f t="shared" si="0"/>
        <v>0</v>
      </c>
      <c r="F4" s="8">
        <f>COUNT(H4:H4)/COUNT(H2:H9)</f>
        <v>0.125</v>
      </c>
      <c r="G4" s="9" t="s">
        <v>14</v>
      </c>
      <c r="H4" s="8">
        <v>2</v>
      </c>
      <c r="I4" s="10" t="s">
        <v>25</v>
      </c>
      <c r="J4" s="11">
        <v>0</v>
      </c>
    </row>
    <row r="5" spans="1:15" ht="30" x14ac:dyDescent="0.25">
      <c r="A5" s="4"/>
      <c r="B5" s="5"/>
      <c r="C5" s="6"/>
      <c r="D5" s="7"/>
      <c r="E5" s="8">
        <f t="shared" si="0"/>
        <v>0</v>
      </c>
      <c r="F5" s="8">
        <f>COUNT(H5:H5)/COUNT(H2:H9)</f>
        <v>0.125</v>
      </c>
      <c r="G5" s="9" t="s">
        <v>15</v>
      </c>
      <c r="H5" s="8">
        <v>2</v>
      </c>
      <c r="I5" s="10" t="s">
        <v>37</v>
      </c>
      <c r="J5" s="11">
        <v>0</v>
      </c>
    </row>
    <row r="6" spans="1:15" ht="30" x14ac:dyDescent="0.25">
      <c r="A6" s="4"/>
      <c r="B6" s="5"/>
      <c r="C6" s="6"/>
      <c r="D6" s="7"/>
      <c r="E6" s="8">
        <f t="shared" si="0"/>
        <v>0</v>
      </c>
      <c r="F6" s="8">
        <f>COUNT(H6:H6)/COUNT(H2:H9)</f>
        <v>0.125</v>
      </c>
      <c r="G6" s="9" t="s">
        <v>27</v>
      </c>
      <c r="H6" s="8">
        <v>2</v>
      </c>
      <c r="I6" s="10" t="s">
        <v>36</v>
      </c>
      <c r="J6" s="11">
        <v>0</v>
      </c>
    </row>
    <row r="7" spans="1:15" ht="30" x14ac:dyDescent="0.25">
      <c r="A7" s="4"/>
      <c r="B7" s="5"/>
      <c r="C7" s="6"/>
      <c r="D7" s="7"/>
      <c r="E7" s="8">
        <f t="shared" si="0"/>
        <v>0</v>
      </c>
      <c r="F7" s="8">
        <f>COUNT(H7:H7)/COUNT(H2:H9)</f>
        <v>0.125</v>
      </c>
      <c r="G7" s="9" t="s">
        <v>22</v>
      </c>
      <c r="H7" s="8">
        <v>2</v>
      </c>
      <c r="I7" s="10" t="s">
        <v>34</v>
      </c>
      <c r="J7" s="11">
        <v>0</v>
      </c>
    </row>
    <row r="8" spans="1:15" ht="30" x14ac:dyDescent="0.25">
      <c r="A8" s="4"/>
      <c r="B8" s="5"/>
      <c r="C8" s="6"/>
      <c r="D8" s="7"/>
      <c r="E8" s="6">
        <f>(1/(SUM(H8:H9)))*SUMPRODUCT(H8:H9,J8:J9)</f>
        <v>0</v>
      </c>
      <c r="F8" s="6">
        <f>COUNT(H8:H9)/COUNT(H2:H9)</f>
        <v>0.25</v>
      </c>
      <c r="G8" s="7" t="s">
        <v>30</v>
      </c>
      <c r="H8" s="8">
        <v>1</v>
      </c>
      <c r="I8" s="10" t="s">
        <v>35</v>
      </c>
      <c r="J8" s="11">
        <v>0</v>
      </c>
    </row>
    <row r="9" spans="1:15" ht="30" x14ac:dyDescent="0.25">
      <c r="A9" s="4"/>
      <c r="B9" s="5"/>
      <c r="C9" s="6"/>
      <c r="D9" s="7"/>
      <c r="E9" s="6"/>
      <c r="F9" s="6"/>
      <c r="G9" s="7"/>
      <c r="H9" s="8">
        <v>1</v>
      </c>
      <c r="I9" s="10" t="s">
        <v>31</v>
      </c>
      <c r="J9" s="11">
        <v>0</v>
      </c>
    </row>
    <row r="10" spans="1:15" x14ac:dyDescent="0.25">
      <c r="A10" s="4"/>
      <c r="B10" s="5"/>
      <c r="C10" s="12">
        <f>SUMPRODUCT(E10:E12,F10:F12)</f>
        <v>0</v>
      </c>
      <c r="D10" s="13" t="s">
        <v>17</v>
      </c>
      <c r="E10" s="14">
        <f>(1/(SUM(H10)))*SUMPRODUCT(H10,J10)</f>
        <v>0</v>
      </c>
      <c r="F10" s="14">
        <f>COUNT(H10)/COUNT(H10:H12)</f>
        <v>0.33333333333333331</v>
      </c>
      <c r="G10" s="15" t="s">
        <v>16</v>
      </c>
      <c r="H10" s="14">
        <v>2</v>
      </c>
      <c r="I10" s="16" t="s">
        <v>28</v>
      </c>
      <c r="J10" s="17">
        <v>0</v>
      </c>
    </row>
    <row r="11" spans="1:15" ht="30" x14ac:dyDescent="0.25">
      <c r="A11" s="4"/>
      <c r="B11" s="5"/>
      <c r="C11" s="12"/>
      <c r="D11" s="13"/>
      <c r="E11" s="14">
        <f t="shared" ref="E11:E12" si="1">(1/(SUM(H11)))*SUMPRODUCT(H11,J11)</f>
        <v>0</v>
      </c>
      <c r="F11" s="14">
        <f>COUNT(H11)/COUNT(H10:H12)</f>
        <v>0.33333333333333331</v>
      </c>
      <c r="G11" s="15" t="s">
        <v>27</v>
      </c>
      <c r="H11" s="14">
        <v>2</v>
      </c>
      <c r="I11" s="16" t="s">
        <v>32</v>
      </c>
      <c r="J11" s="17">
        <v>0</v>
      </c>
    </row>
    <row r="12" spans="1:15" ht="30" x14ac:dyDescent="0.25">
      <c r="A12" s="4"/>
      <c r="B12" s="5"/>
      <c r="C12" s="12"/>
      <c r="D12" s="13"/>
      <c r="E12" s="14">
        <f t="shared" si="1"/>
        <v>0</v>
      </c>
      <c r="F12" s="14">
        <f>COUNT(H12)/COUNT(H10:H12)</f>
        <v>0.33333333333333331</v>
      </c>
      <c r="G12" s="15" t="s">
        <v>15</v>
      </c>
      <c r="H12" s="14">
        <v>2</v>
      </c>
      <c r="I12" s="16" t="s">
        <v>29</v>
      </c>
      <c r="J12" s="17">
        <v>0</v>
      </c>
    </row>
    <row r="13" spans="1:15" ht="30" x14ac:dyDescent="0.25">
      <c r="A13" s="4"/>
      <c r="B13" s="5"/>
      <c r="C13" s="18">
        <f>SUMPRODUCT(E13:E17,F13:F17)</f>
        <v>0</v>
      </c>
      <c r="D13" s="19" t="s">
        <v>19</v>
      </c>
      <c r="E13" s="18">
        <f>(1/(SUM(H13:H14)))*SUMPRODUCT(H13:H14,J13:J14)</f>
        <v>0</v>
      </c>
      <c r="F13" s="18">
        <f>COUNT(H13:H14)/COUNT(H13:H17)</f>
        <v>0.4</v>
      </c>
      <c r="G13" s="19" t="s">
        <v>11</v>
      </c>
      <c r="H13" s="20">
        <v>1</v>
      </c>
      <c r="I13" s="21" t="s">
        <v>20</v>
      </c>
      <c r="J13" s="22">
        <v>0</v>
      </c>
    </row>
    <row r="14" spans="1:15" ht="30" x14ac:dyDescent="0.25">
      <c r="A14" s="4"/>
      <c r="B14" s="5"/>
      <c r="C14" s="18"/>
      <c r="D14" s="19"/>
      <c r="E14" s="18"/>
      <c r="F14" s="18"/>
      <c r="G14" s="19"/>
      <c r="H14" s="20">
        <v>1</v>
      </c>
      <c r="I14" s="21" t="s">
        <v>21</v>
      </c>
      <c r="J14" s="22">
        <v>0</v>
      </c>
    </row>
    <row r="15" spans="1:15" ht="30" x14ac:dyDescent="0.25">
      <c r="A15" s="4"/>
      <c r="B15" s="5"/>
      <c r="C15" s="18"/>
      <c r="D15" s="19"/>
      <c r="E15" s="20">
        <f>(1/(SUM(H15)))*SUMPRODUCT(H15,J15)</f>
        <v>0</v>
      </c>
      <c r="F15" s="20">
        <f>COUNT(H15)/COUNT(H13:H17)</f>
        <v>0.2</v>
      </c>
      <c r="G15" s="23" t="s">
        <v>13</v>
      </c>
      <c r="H15" s="20">
        <v>2</v>
      </c>
      <c r="I15" s="21" t="s">
        <v>26</v>
      </c>
      <c r="J15" s="22">
        <v>0</v>
      </c>
    </row>
    <row r="16" spans="1:15" ht="30" x14ac:dyDescent="0.25">
      <c r="A16" s="4"/>
      <c r="B16" s="5"/>
      <c r="C16" s="18"/>
      <c r="D16" s="19"/>
      <c r="E16" s="20">
        <f t="shared" ref="E16:E17" si="2">(1/(SUM(H16)))*SUMPRODUCT(H16,J16)</f>
        <v>0</v>
      </c>
      <c r="F16" s="20">
        <f>COUNT(H16)/COUNT(H13:H17)</f>
        <v>0.2</v>
      </c>
      <c r="G16" s="23" t="s">
        <v>22</v>
      </c>
      <c r="H16" s="20">
        <v>2</v>
      </c>
      <c r="I16" s="21" t="s">
        <v>23</v>
      </c>
      <c r="J16" s="22">
        <v>0</v>
      </c>
    </row>
    <row r="17" spans="1:10" ht="30" x14ac:dyDescent="0.25">
      <c r="A17" s="4"/>
      <c r="B17" s="5"/>
      <c r="C17" s="18"/>
      <c r="D17" s="19"/>
      <c r="E17" s="20">
        <f t="shared" si="2"/>
        <v>0</v>
      </c>
      <c r="F17" s="20">
        <f>COUNT(H17)/COUNT(H13:H17)</f>
        <v>0.2</v>
      </c>
      <c r="G17" s="23" t="s">
        <v>30</v>
      </c>
      <c r="H17" s="20">
        <v>2</v>
      </c>
      <c r="I17" s="21" t="s">
        <v>33</v>
      </c>
      <c r="J17" s="22">
        <v>0</v>
      </c>
    </row>
  </sheetData>
  <mergeCells count="14">
    <mergeCell ref="A2:A17"/>
    <mergeCell ref="F8:F9"/>
    <mergeCell ref="E8:E9"/>
    <mergeCell ref="F13:F14"/>
    <mergeCell ref="E13:E14"/>
    <mergeCell ref="C2:C9"/>
    <mergeCell ref="C10:C12"/>
    <mergeCell ref="C13:C17"/>
    <mergeCell ref="B2:B17"/>
    <mergeCell ref="G13:G14"/>
    <mergeCell ref="G8:G9"/>
    <mergeCell ref="D2:D9"/>
    <mergeCell ref="D10:D12"/>
    <mergeCell ref="D13:D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Oliveira (1201042)</dc:creator>
  <cp:lastModifiedBy>Gonçalo Oliveira (1201042)</cp:lastModifiedBy>
  <dcterms:created xsi:type="dcterms:W3CDTF">2023-10-30T18:43:36Z</dcterms:created>
  <dcterms:modified xsi:type="dcterms:W3CDTF">2023-10-30T22:32:17Z</dcterms:modified>
</cp:coreProperties>
</file>