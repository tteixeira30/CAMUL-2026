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paulaescudeiro/Dropbox/Activity/Pedagogica/2025/CAMUL-MEI (1sem)/TP/QEF final/"/>
    </mc:Choice>
  </mc:AlternateContent>
  <xr:revisionPtr revIDLastSave="0" documentId="8_{CD259A54-9316-3245-BC9E-20EE06BE053F}" xr6:coauthVersionLast="47" xr6:coauthVersionMax="47" xr10:uidLastSave="{00000000-0000-0000-0000-000000000000}"/>
  <bookViews>
    <workbookView xWindow="0" yWindow="740" windowWidth="29040" windowHeight="15720" xr2:uid="{00000000-000D-0000-FFFF-FFFF00000000}"/>
  </bookViews>
  <sheets>
    <sheet name="QEF" sheetId="9" r:id="rId1"/>
    <sheet name="QEF (antigo)" sheetId="5" state="hidden" r:id="rId2"/>
    <sheet name="Functionality" sheetId="6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9" l="1"/>
  <c r="E40" i="9"/>
  <c r="E38" i="9"/>
  <c r="E34" i="9"/>
  <c r="E30" i="9"/>
  <c r="E26" i="9"/>
  <c r="E18" i="9"/>
  <c r="E14" i="9"/>
  <c r="E9" i="9"/>
  <c r="E2" i="9"/>
  <c r="F40" i="9"/>
  <c r="F38" i="9"/>
  <c r="F34" i="9"/>
  <c r="F30" i="9"/>
  <c r="F2" i="9"/>
  <c r="F8" i="9"/>
  <c r="F9" i="9"/>
  <c r="F14" i="9"/>
  <c r="F18" i="9"/>
  <c r="F26" i="9"/>
  <c r="F2" i="5" l="1"/>
  <c r="E24" i="5"/>
  <c r="E22" i="5"/>
  <c r="E20" i="5"/>
  <c r="E18" i="5"/>
  <c r="E15" i="5"/>
  <c r="E11" i="5"/>
  <c r="E8" i="5"/>
  <c r="E2" i="5"/>
  <c r="E6" i="5"/>
  <c r="F24" i="5"/>
  <c r="F22" i="5"/>
  <c r="F20" i="5"/>
  <c r="F18" i="5"/>
  <c r="F15" i="5"/>
  <c r="F11" i="5"/>
  <c r="F8" i="5"/>
  <c r="F6" i="5"/>
  <c r="C18" i="9" l="1"/>
  <c r="C2" i="9"/>
  <c r="C34" i="9"/>
  <c r="C20" i="5"/>
  <c r="C11" i="5"/>
  <c r="C2" i="5"/>
  <c r="A2" i="9" l="1"/>
  <c r="B2" i="9"/>
  <c r="B2" i="5"/>
  <c r="A2" i="5"/>
</calcChain>
</file>

<file path=xl/sharedStrings.xml><?xml version="1.0" encoding="utf-8"?>
<sst xmlns="http://schemas.openxmlformats.org/spreadsheetml/2006/main" count="369" uniqueCount="263">
  <si>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</si>
  <si>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</si>
  <si>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</si>
  <si>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</si>
  <si>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</si>
  <si>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</si>
  <si>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</si>
  <si>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</si>
  <si>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</si>
  <si>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</si>
  <si>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Notes</t>
  </si>
  <si>
    <t>Functionality</t>
  </si>
  <si>
    <t>Typography</t>
  </si>
  <si>
    <t>RT01 - Legible font choice</t>
  </si>
  <si>
    <t>RT02 - Appropriate font size for body text</t>
  </si>
  <si>
    <t>RT03 - Clear contrast between text and background</t>
  </si>
  <si>
    <t>RT04 - Use of serif and non-serif fonts accordingly to the website style</t>
  </si>
  <si>
    <t>Line Spacing and Line Length</t>
  </si>
  <si>
    <t>RL01 - Adequate line spacing and easy reading</t>
  </si>
  <si>
    <t>RL02 - Optimal line length to avoid eye strain</t>
  </si>
  <si>
    <t>Readibility of Content</t>
  </si>
  <si>
    <t>RR01 - Well-structured paragraphs and headings</t>
  </si>
  <si>
    <t>RR02 - Use of bullet points and lists for readibility</t>
  </si>
  <si>
    <t>RR03 - Avoidance of excessive jargon and complex language</t>
  </si>
  <si>
    <t>Aesthetic</t>
  </si>
  <si>
    <t>Visual Harmony</t>
  </si>
  <si>
    <t>AVH01 - Consistency in color scheme and design elements</t>
  </si>
  <si>
    <t>AVH02 - Balanced use of positive and negative space for content</t>
  </si>
  <si>
    <t>AVH03 - Balanced use of visual weight</t>
  </si>
  <si>
    <t>AVH04 - Use of simetry and assimetry according to the page content</t>
  </si>
  <si>
    <t>Visual Appeal</t>
  </si>
  <si>
    <t>AVA01 - High-quality and visually appealing images and graphics</t>
  </si>
  <si>
    <t>AVA02 - Cohesive design that alligns with the website's purpose or brand</t>
  </si>
  <si>
    <t>AVA03 - Adherence to Rule of Thirds</t>
  </si>
  <si>
    <t>User Engagement</t>
  </si>
  <si>
    <t>AU01 - Use of attention-grabbing elements without overwhelming the user</t>
  </si>
  <si>
    <t>AU02 - Clear and enticing call-to-action buttons</t>
  </si>
  <si>
    <t>Usability</t>
  </si>
  <si>
    <t>Information Hierarchy</t>
  </si>
  <si>
    <t>OI01 - Clear distinction between main content and supplementary information</t>
  </si>
  <si>
    <t>OI02 - Intuintive placement of important content</t>
  </si>
  <si>
    <t>Navigation Menu</t>
  </si>
  <si>
    <t>ON01 - Logical grouping of menu items</t>
  </si>
  <si>
    <t>ON02 - User-friendly and responsive navigation for different devices</t>
  </si>
  <si>
    <t>Content Categorization</t>
  </si>
  <si>
    <t>OC01 - Proper categorization and labeling of content</t>
  </si>
  <si>
    <t>OC02 - Effective use of heading, subheading, and labels</t>
  </si>
  <si>
    <t>Products page weigths are random, not balanced; About page has those tree areas with different weigths when they are equally important</t>
  </si>
  <si>
    <t>About page has those tree areas assymetrically when they are equally important, should be simmetrical</t>
  </si>
  <si>
    <t>Products page doesn't use rule of thirds</t>
  </si>
  <si>
    <t>Only the main page really has buttons..</t>
  </si>
  <si>
    <t>Organization</t>
  </si>
  <si>
    <t>In the products page, the title is on the right instead of left, and the products are randomly positioned</t>
  </si>
  <si>
    <t>Only the main page really has more than one menu item..</t>
  </si>
  <si>
    <t>responsiveness was not taken into account</t>
  </si>
  <si>
    <t>The products are not labeled. The main page has buttons labeled and both it and the about page categorize their content´</t>
  </si>
  <si>
    <t>Funcionalidade</t>
  </si>
  <si>
    <t>Usabilidade</t>
  </si>
  <si>
    <t>Readability</t>
  </si>
  <si>
    <t>Wfk - Fullfilment (%)</t>
  </si>
  <si>
    <t>Metric Evaluation</t>
  </si>
  <si>
    <t>Color scheme does not make sense in the page context</t>
  </si>
  <si>
    <t>Correct and Effective use of positive and negative space</t>
  </si>
  <si>
    <t>No page uses positive or negative space</t>
  </si>
  <si>
    <t>Image, text and object weight are used effectively</t>
  </si>
  <si>
    <t>No page uses different text, image and object weights</t>
  </si>
  <si>
    <t>Display of simetry and assimetry to make a more attractive page</t>
  </si>
  <si>
    <t>Pages don't make use of simetry or assimetry factors</t>
  </si>
  <si>
    <t>Use of the Rule of Thirds is consistent and effective</t>
  </si>
  <si>
    <t>There's no use of the rule of the thirds</t>
  </si>
  <si>
    <t>Navigation is not user-friendly and does not adapt to different devices.</t>
  </si>
  <si>
    <t>Navigation in one page is highly user-friendly and adapts to all devices.</t>
  </si>
  <si>
    <t>Navigation in all pages is highly user-friendly and adapts to all devices.</t>
  </si>
  <si>
    <t>KaZgeh_mDEOcYyZmU7K4mS4HfvV4hEVGifdPy62G16hUQkdKUzI0RjhGMTE5TU0yNzlaVlBQVTBGNSQlQCN0PWcu</t>
  </si>
  <si>
    <t>Form1</t>
  </si>
  <si>
    <t>{ee18d7d6-562b-465e-8a22-de789b1fce2f}</t>
  </si>
  <si>
    <t>Readibility</t>
  </si>
  <si>
    <t>AR01 - Appropriate text size, color and font type</t>
  </si>
  <si>
    <t>AR02 - Adequate line spacing and length</t>
  </si>
  <si>
    <t>AR04 - Use of bullet points and lists for readibility</t>
  </si>
  <si>
    <t>AR03 - Well-structured paragraphs and headings</t>
  </si>
  <si>
    <t>Marketing</t>
  </si>
  <si>
    <t>MOOC Integration</t>
  </si>
  <si>
    <t>Accessibility Design</t>
  </si>
  <si>
    <t>Community Engagement</t>
  </si>
  <si>
    <t>Visual Harmony and Appeal</t>
  </si>
  <si>
    <t>AV01 - Consistency in color scheme and design, cohesive with the brand</t>
  </si>
  <si>
    <t>AV02 - Balanced use of positive and negative space for content</t>
  </si>
  <si>
    <t>AV03 - Balanced use of visual weight</t>
  </si>
  <si>
    <t>AV04 - Use of simetry and assimetry according to the page content</t>
  </si>
  <si>
    <t>AV05 - High-quality and visually appealing elements</t>
  </si>
  <si>
    <t>AV06 - Adherence to Rule of Thirds</t>
  </si>
  <si>
    <t>AO01 - Intuintive placement and emphasis on important content</t>
  </si>
  <si>
    <t>AO02 - Proper categorization and labeling of content</t>
  </si>
  <si>
    <t xml:space="preserve">FM01 - Page describing the course intructors </t>
  </si>
  <si>
    <t>FA01 - Settings for color blindness friendly colors</t>
  </si>
  <si>
    <t>FA02 - ARIA labels for screen readers</t>
  </si>
  <si>
    <t>FA03 - Closed Captioning for videos outside MOOC content</t>
  </si>
  <si>
    <t>FA04 - Readability and Dyslexia-Friendly Features</t>
  </si>
  <si>
    <t>FA05 - Keyboard Navigation</t>
  </si>
  <si>
    <t>FI05 - Data structures capable of storing the final exam of a chapter, and a student's answers to it</t>
  </si>
  <si>
    <t>FI01 - Host the content of the MOOC course</t>
  </si>
  <si>
    <t>FI02 - Respect the guidelines and restrictions of the MOOC distribution platform</t>
  </si>
  <si>
    <t>FI04 - Front-end page capable of loading and showing any lesson's content to the platform</t>
  </si>
  <si>
    <t>FI06 - Functionality to calculate and show the student their score in the exam</t>
  </si>
  <si>
    <t>Ease of use</t>
  </si>
  <si>
    <t>UE01 - Allow students to browse the content with ease</t>
  </si>
  <si>
    <t>UE02 - Logical grouping of menu items</t>
  </si>
  <si>
    <t>UE03 - User-friendly and responsive navigation for different devices</t>
  </si>
  <si>
    <t>UE04 - Content and screens structured in an intuitive manner</t>
  </si>
  <si>
    <t>Engagement</t>
  </si>
  <si>
    <t>Performance and Security</t>
  </si>
  <si>
    <t xml:space="preserve">tanto faz no fim pk vamos eliminar as outras, mas </t>
  </si>
  <si>
    <t>UP01 - Good Performance, capable of handling a large number of simultaneous users</t>
  </si>
  <si>
    <t>UP03 - Ensure user data privacy and security</t>
  </si>
  <si>
    <t xml:space="preserve">UN01 - Grab and keep student's attention and engagement </t>
  </si>
  <si>
    <t>The website is capable of hosting video, as well any extra content that the course can hold, such as quizzes and extra materials.</t>
  </si>
  <si>
    <t>The website does not host any content.</t>
  </si>
  <si>
    <t>The website can host videos, divided into chapters and lessons.</t>
  </si>
  <si>
    <t>The platform respects ALL the guidelines from the Udemy platform in relation to the developed MOOC.</t>
  </si>
  <si>
    <t>The website does not respect any guidelines.</t>
  </si>
  <si>
    <t>The website respects every guideline set by Udemy.</t>
  </si>
  <si>
    <t>The platform is able to be used to select any part of the course and watch it, also gathering the extra materials.</t>
  </si>
  <si>
    <t>You cannot watch a lesson in the website.</t>
  </si>
  <si>
    <t>You can watch a lesson, but the extra materials must be downloaded from udemy.</t>
  </si>
  <si>
    <t>You can watch a lesson and download extra content from the website itself.</t>
  </si>
  <si>
    <t>Use of high-quality, visually appealing design elements</t>
  </si>
  <si>
    <t>Low-quality and visually unappealing design elements</t>
  </si>
  <si>
    <t>Proper selection of text size, color, and font type for readability and alignment with design principles</t>
  </si>
  <si>
    <t>The website should use data structures capable of holding the final exam of a chapter, including questions, answers and points for each question.</t>
  </si>
  <si>
    <t>The website cannot store exams.</t>
  </si>
  <si>
    <t>Text size, color, and font type choices are inappropriate, hindering readability</t>
  </si>
  <si>
    <t>The website can store the exam's structure, but not the answers given.</t>
  </si>
  <si>
    <t>Line spacing and length are inappropriate, causing difficulty in reading</t>
  </si>
  <si>
    <t>The website can store the exam's structure, and the answers given by each student.</t>
  </si>
  <si>
    <t>FC04 - Allow user's Rating and Feedback for each Lessons</t>
  </si>
  <si>
    <t>The exam's final score is calculated and presented to the student after he takes it.</t>
  </si>
  <si>
    <t>FC02 - Interactive activities such as quizzes and events</t>
  </si>
  <si>
    <t>FC01 - Forum where students can interact with each other</t>
  </si>
  <si>
    <t>Poor organisation of paragraphs and headings on all pages</t>
  </si>
  <si>
    <t>UN02 - Offer 24/7 support for student’s questions asynchronously</t>
  </si>
  <si>
    <t>The exam's final score isn't calculated.</t>
  </si>
  <si>
    <t>UP02 - Scalable, capable of adding future lessons and content with ease</t>
  </si>
  <si>
    <t>The exam's final score is calculated, but not shown.</t>
  </si>
  <si>
    <t>The exam's score is calculated and shown.</t>
  </si>
  <si>
    <t>The Website can host video, quizzes and extra materials.</t>
  </si>
  <si>
    <t>Consistent and appropriate choices of text size, colour and font on some pages</t>
  </si>
  <si>
    <t>Consistent and appropriate line spacing and length on some pages</t>
  </si>
  <si>
    <t>Consistent and well-structured paragraphs and headings on some pages</t>
  </si>
  <si>
    <t>Consistent and effective use of bullet points and lists on some pages</t>
  </si>
  <si>
    <t>No use of bullet points or lists</t>
  </si>
  <si>
    <t>Color scheme is used effectively to help the design of some pages</t>
  </si>
  <si>
    <t>Some pages have white and positive space used</t>
  </si>
  <si>
    <t>Some pages uses different text, image and object weights</t>
  </si>
  <si>
    <t>Some pages utilizes simetry or assimetry</t>
  </si>
  <si>
    <t>The rule of the thirds is present on some pages</t>
  </si>
  <si>
    <t>Use of high-quality, visually appealing design elements on some pages</t>
  </si>
  <si>
    <t>The website respects some of the guidelines.</t>
  </si>
  <si>
    <t>Lack of intuitive placement and emphasis on all pages</t>
  </si>
  <si>
    <t>Improper categorization and labeling</t>
  </si>
  <si>
    <t>Intuitive placement and effective emphasis on important content throughout on some pages</t>
  </si>
  <si>
    <t>Proper categorization and clear labeling of content on some pages</t>
  </si>
  <si>
    <t>The website has a page where the instructors / creators of the course are shown.</t>
  </si>
  <si>
    <t>Intuitive layout effectively emphasising crucial content</t>
  </si>
  <si>
    <t>Proper organisation of paragraphs and headings for clarity and logical flow on some pages</t>
  </si>
  <si>
    <t>Effective use of bullet points and lists on some pages</t>
  </si>
  <si>
    <t>Consistent and correct application of the brand color scheme across some pages</t>
  </si>
  <si>
    <t>Appropriate categorisation and labelling to facilitate understanding</t>
  </si>
  <si>
    <t>This page does not exist.</t>
  </si>
  <si>
    <t>The page exists, but some elements are missing. (Photos or descriptions.)</t>
  </si>
  <si>
    <t>The page exists and has everything necessary to present the instructors to the audience.</t>
  </si>
  <si>
    <t>The website has settings that alter the colors used to more color blindness friendly colors.</t>
  </si>
  <si>
    <t>These settings do not exist.</t>
  </si>
  <si>
    <t>The web platform allows students to navigate the content without problems</t>
  </si>
  <si>
    <t>The web platform was optimized so that a large number of users does not affect performance</t>
  </si>
  <si>
    <t>The web platform has poor performance constantly, even with only 1 user</t>
  </si>
  <si>
    <t>Content navigation is difficult and not easy for the user</t>
  </si>
  <si>
    <t>The web platform is capable of handling up to 3 users without losing performance</t>
  </si>
  <si>
    <t xml:space="preserve"> Effortless and easy-to-use content browsing experience</t>
  </si>
  <si>
    <t>The web platform handles a large quantity of users without losing performance</t>
  </si>
  <si>
    <t>These settings exist, but only cover one type of color blidness, such as Deuteranopia.</t>
  </si>
  <si>
    <t xml:space="preserve"> The web platform's menu items are grouped logically for clarity</t>
  </si>
  <si>
    <t>These settings exist and cover atleast three color blindness conditions.
(ex. Deuteranopia, Protanopia and Tritanopia)</t>
  </si>
  <si>
    <t>Menu items are not logically grouped on any of the pages, causing confusion</t>
  </si>
  <si>
    <t>The website uses ARIA labels in HTML elements.</t>
  </si>
  <si>
    <t>The website provides closed caption subtitles for videos in the MOOC.</t>
  </si>
  <si>
    <t>Menu items are clear and logically grouped in one page</t>
  </si>
  <si>
    <t>All content was hard-coded, and so adding new content needs new pages</t>
  </si>
  <si>
    <t>The website provides features that help with reading disorders.</t>
  </si>
  <si>
    <t>Navigation on the web platform is easy to use and responsive on various devices</t>
  </si>
  <si>
    <t>Either the MOOC or the events was hard-coded, but the other is dynamic from data in the database</t>
  </si>
  <si>
    <t>The website is able to be used only by keyboard.</t>
  </si>
  <si>
    <t>The website is missing ARIA labels, leading screen readers to be confused.</t>
  </si>
  <si>
    <t>The website has ARIA labels only in the most important elements.</t>
  </si>
  <si>
    <t>The content and screens follow an intuitive structure on all pages</t>
  </si>
  <si>
    <t>Important content is poorly positioned and difficult to find</t>
  </si>
  <si>
    <t>Important content is intuitively positioned in one page</t>
  </si>
  <si>
    <t>Important content is intuitively positioned in all pages</t>
  </si>
  <si>
    <t>The website has ARIA labels in every element that supports them.</t>
  </si>
  <si>
    <t>The videos have no subititles.</t>
  </si>
  <si>
    <t>The web platform was made scalable, so it is possible to add new lessons to the MOOC and other content such as events dynamically</t>
  </si>
  <si>
    <t>The videos have subtitles, but they aren't closed caption, leading to difficulty reading them.</t>
  </si>
  <si>
    <t>Every video hosted has closed captions.</t>
  </si>
  <si>
    <t>On at least one page, content navigation is difficult for the user</t>
  </si>
  <si>
    <t>The website does not provide these features.</t>
  </si>
  <si>
    <t>Both the MOOC content and the events page is dynamic</t>
  </si>
  <si>
    <t>The website provides only some features to help with one reading disorder.</t>
  </si>
  <si>
    <t>The platform was implemented with data privacy in mind</t>
  </si>
  <si>
    <t>The website provides multiple features that can help people with multiple reading disorders.</t>
  </si>
  <si>
    <t>No user privacy was taken into account</t>
  </si>
  <si>
    <t>A mouse is required, as the website cannot be solely used by keyboard.</t>
  </si>
  <si>
    <t>Some elements require the use of a mouse to operate.</t>
  </si>
  <si>
    <t>Menu items are clear and logically grouped in all pages</t>
  </si>
  <si>
    <t>All elements are accessible by keyboard.</t>
  </si>
  <si>
    <t>The user's data privacy and security is completely guaranteed</t>
  </si>
  <si>
    <t>User privacy and security was taken into account, but the system has some flaws</t>
  </si>
  <si>
    <t>The web platform effectively captures and maintains students' attention and engagement</t>
  </si>
  <si>
    <t>The web platform offers 24/7 asynchronous support for all students' questions</t>
  </si>
  <si>
    <t>Cannot capture or maintain students' attention and engagement</t>
  </si>
  <si>
    <t>The website provides a forum where posts, user profiles and answers can be consulted.</t>
  </si>
  <si>
    <t>Successfully captures and maintains students' attention and engagement throughout the process</t>
  </si>
  <si>
    <t>The website hosts each lesson's quizzes and other events.</t>
  </si>
  <si>
    <t>The users should be able to rate and give feedback for each lesson.</t>
  </si>
  <si>
    <t>Captures and maintains students' attention on just one page</t>
  </si>
  <si>
    <t>No 24/7 support or no asynchronous support for student questions</t>
  </si>
  <si>
    <t>Offers continuous, asynchronous support, answering students' questions 24 hours a day</t>
  </si>
  <si>
    <t>Offers asynchronous but not continuous support, only a few hours a day</t>
  </si>
  <si>
    <t>A forum page does not exist.</t>
  </si>
  <si>
    <t>The forum page exists, but users cannot answer to published posts.</t>
  </si>
  <si>
    <t>The user can rate the lesson on a scale, but cannot give textual feedback</t>
  </si>
  <si>
    <t>The forum page exists and users are able to answer to posts, have their own user profile and see other user's posts.</t>
  </si>
  <si>
    <t>The user can both rate and give textual feedback for each lesson</t>
  </si>
  <si>
    <t>The user cannot see their progress through the lessons</t>
  </si>
  <si>
    <t>The website hosts some extra quizzes, but not events.</t>
  </si>
  <si>
    <t>The website does not host events or quizzes.</t>
  </si>
  <si>
    <t>The website hosts extra quizzes through events.</t>
  </si>
  <si>
    <t>FC03 - User progress</t>
  </si>
  <si>
    <t>The web platform allows users to check their progress in the MOOC course</t>
  </si>
  <si>
    <t>The usar can see their progress in the course, to keep engagement</t>
  </si>
  <si>
    <t>FI03 - User Authentication through e-mail and password</t>
  </si>
  <si>
    <t>FC01 - Local where students can interact with each other</t>
  </si>
  <si>
    <t>AV01 - Consistency in color scheme and design</t>
  </si>
  <si>
    <r>
      <t>AV07</t>
    </r>
    <r>
      <rPr>
        <sz val="11"/>
        <color theme="1"/>
        <rFont val="Calibri"/>
        <family val="2"/>
        <scheme val="minor"/>
      </rPr>
      <t xml:space="preserve"> - Uses patterns or repeated shapes in a randomized or highly organized manner.</t>
    </r>
  </si>
  <si>
    <r>
      <t>AV08</t>
    </r>
    <r>
      <rPr>
        <sz val="11"/>
        <color theme="1"/>
        <rFont val="Calibri"/>
        <family val="2"/>
        <scheme val="minor"/>
      </rPr>
      <t xml:space="preserve"> - Use of color schemes that work well together</t>
    </r>
  </si>
  <si>
    <t>AO04 - Organization and layout create a sense of cohesion across all elements.</t>
  </si>
  <si>
    <t>AO03 - All elements and sections feel like they belong together</t>
  </si>
  <si>
    <t>All elements and sections feel cohesive and harmoniously integrated across the site.</t>
  </si>
  <si>
    <t>Consistent and thoughtful layout creates a cohesive experience across all elements and pages.</t>
  </si>
  <si>
    <t>Disorganized layout and lack of cohesion across elements lead to a fragmented experience.</t>
  </si>
  <si>
    <t>Elements and sections do not feel cohesive or connected, creating a disjointed experience.</t>
  </si>
  <si>
    <t>Measures the cohesion and visual harmony of elements and sections across pages, creating a seamless experience.</t>
  </si>
  <si>
    <t>Evaluates the consistency of organization and layout, contributing to an overall cohesive experience across the site.</t>
  </si>
  <si>
    <t>Evaluates the effectiveness of pattern usage, including how well shapes are repeated in a way that enhances visual interest and cohesion.</t>
  </si>
  <si>
    <t>Assesses the effectiveness of color schemes in creating a harmonious, visually appealing experience and enhancing readability.</t>
  </si>
  <si>
    <t>No use of patterns or repeated shapes</t>
  </si>
  <si>
    <t>Patterns or repeated shapes are applied thoughtfully in a way that is highly organized or effectively randomized, enhancing the visual appeal across all pages.</t>
  </si>
  <si>
    <t>Colors are consistently complementary, creating a cohesive and appealing visual experience across the entire site.</t>
  </si>
  <si>
    <t>Color schemes are inconsistently applied, with clashing or poorly balanced colors that reduce readability or visual appeal.</t>
  </si>
  <si>
    <t>The platform allows the user to login using their email and password.</t>
  </si>
  <si>
    <t>FI03 - User Authentication through email and password</t>
  </si>
  <si>
    <t>The user cannot login.</t>
  </si>
  <si>
    <t>The user can login without the email and password authentication.</t>
  </si>
  <si>
    <t>The user logs with email and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</si>
</sst>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Symbol"/>
      <charset val="2"/>
    </font>
    <font>
      <sz val="8"/>
      <color theme="1"/>
      <name val="Calibri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BEDD"/>
        <bgColor indexed="64"/>
      </patternFill>
    </fill>
    <fill>
      <patternFill patternType="solid">
        <fgColor rgb="FFA4BEDD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1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1" xfId="0" applyFill="1" applyBorder="1"/>
    <xf numFmtId="0" fontId="0" fillId="0" borderId="1" xfId="0" applyBorder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9" borderId="23" xfId="0" applyFill="1" applyBorder="1"/>
    <xf numFmtId="0" fontId="0" fillId="10" borderId="1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10" borderId="2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13" borderId="1" xfId="0" applyFill="1" applyBorder="1"/>
    <xf numFmtId="0" fontId="6" fillId="14" borderId="1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27" xfId="0" applyFill="1" applyBorder="1"/>
    <xf numFmtId="0" fontId="0" fillId="13" borderId="27" xfId="0" applyFill="1" applyBorder="1"/>
    <xf numFmtId="9" fontId="0" fillId="0" borderId="0" xfId="1" applyFont="1" applyBorder="1" applyAlignment="1">
      <alignment vertical="center"/>
    </xf>
    <xf numFmtId="0" fontId="0" fillId="0" borderId="0" xfId="0" applyAlignment="1">
      <alignment horizontal="center"/>
    </xf>
    <xf numFmtId="0" fontId="0" fillId="7" borderId="0" xfId="0" applyFill="1"/>
    <xf numFmtId="0" fontId="0" fillId="6" borderId="7" xfId="0" applyFill="1" applyBorder="1" applyAlignment="1">
      <alignment horizontal="center" vertical="center"/>
    </xf>
    <xf numFmtId="0" fontId="0" fillId="6" borderId="0" xfId="0" applyFill="1"/>
    <xf numFmtId="0" fontId="0" fillId="6" borderId="27" xfId="0" applyFill="1" applyBorder="1"/>
    <xf numFmtId="0" fontId="0" fillId="7" borderId="27" xfId="0" applyFill="1" applyBorder="1"/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Medium9"/>
  <colors>
    <mruColors>
      <color rgb="FFA4BEDD"/>
      <color rgb="FFABC5E4"/>
      <color rgb="FFAEC7E4"/>
      <color rgb="FF8BA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B9C7-A679-1E4B-A280-8C6FEC77FC8B}">
  <dimension ref="A1:J54"/>
  <sheetViews>
    <sheetView tabSelected="1" zoomScale="86" workbookViewId="0">
      <selection activeCell="I4" sqref="I4"/>
    </sheetView>
  </sheetViews>
  <sheetFormatPr baseColWidth="10" defaultColWidth="8.6640625" defaultRowHeight="15" x14ac:dyDescent="0.2"/>
  <cols>
    <col min="4" max="4" width="15" customWidth="1"/>
    <col min="5" max="5" width="8.6640625" bestFit="1" customWidth="1"/>
    <col min="6" max="6" width="13" customWidth="1"/>
    <col min="7" max="7" width="25" customWidth="1"/>
    <col min="8" max="8" width="12.6640625" customWidth="1"/>
    <col min="9" max="9" width="85.33203125" bestFit="1" customWidth="1"/>
    <col min="10" max="10" width="17.1640625" customWidth="1"/>
    <col min="11" max="11" width="8.6640625" bestFit="1" customWidth="1"/>
    <col min="12" max="12" width="38.1640625" customWidth="1"/>
  </cols>
  <sheetData>
    <row r="1" spans="1:10" ht="8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</row>
    <row r="2" spans="1:10" x14ac:dyDescent="0.2">
      <c r="A2" s="96">
        <f>(LOG(1+C2/100)+LOG(1+C18/100)+LOG(1+C34/100))/(3*LOG(2))</f>
        <v>0.93753903662120475</v>
      </c>
      <c r="B2" s="93">
        <f>SQRT((1-C2/100)^2+(1-C18/100)^2+(1-C34/100)^2)</f>
        <v>0.15802456936314863</v>
      </c>
      <c r="C2" s="110">
        <f>SUMPRODUCT(E2:E17,F2:F17)</f>
        <v>90.397727272727266</v>
      </c>
      <c r="D2" s="110" t="s">
        <v>11</v>
      </c>
      <c r="E2" s="117">
        <f>(1/(SUM(H2:H7)))*SUMPRODUCT(H2:H7,J2:J7)</f>
        <v>94.090909090909093</v>
      </c>
      <c r="F2" s="117">
        <f>COUNT(H2:H7)/COUNT(H2:H17)</f>
        <v>0.375</v>
      </c>
      <c r="G2" s="117" t="s">
        <v>82</v>
      </c>
      <c r="H2" s="4">
        <v>10</v>
      </c>
      <c r="I2" s="4" t="s">
        <v>101</v>
      </c>
      <c r="J2" s="4">
        <v>100</v>
      </c>
    </row>
    <row r="3" spans="1:10" x14ac:dyDescent="0.2">
      <c r="A3" s="97"/>
      <c r="B3" s="94"/>
      <c r="C3" s="111"/>
      <c r="D3" s="111"/>
      <c r="E3" s="118"/>
      <c r="F3" s="118"/>
      <c r="G3" s="118"/>
      <c r="H3" s="4">
        <v>10</v>
      </c>
      <c r="I3" s="4" t="s">
        <v>102</v>
      </c>
      <c r="J3" s="4">
        <v>100</v>
      </c>
    </row>
    <row r="4" spans="1:10" x14ac:dyDescent="0.2">
      <c r="A4" s="97"/>
      <c r="B4" s="94"/>
      <c r="C4" s="111"/>
      <c r="D4" s="111"/>
      <c r="E4" s="118"/>
      <c r="F4" s="118"/>
      <c r="G4" s="118"/>
      <c r="H4" s="4">
        <v>2</v>
      </c>
      <c r="I4" s="4" t="s">
        <v>239</v>
      </c>
      <c r="J4" s="4">
        <v>100</v>
      </c>
    </row>
    <row r="5" spans="1:10" x14ac:dyDescent="0.2">
      <c r="A5" s="97"/>
      <c r="B5" s="94"/>
      <c r="C5" s="111"/>
      <c r="D5" s="111"/>
      <c r="E5" s="118"/>
      <c r="F5" s="118"/>
      <c r="G5" s="118"/>
      <c r="H5" s="4">
        <v>10</v>
      </c>
      <c r="I5" s="4" t="s">
        <v>103</v>
      </c>
      <c r="J5" s="4">
        <v>100</v>
      </c>
    </row>
    <row r="6" spans="1:10" x14ac:dyDescent="0.2">
      <c r="A6" s="97"/>
      <c r="B6" s="94"/>
      <c r="C6" s="111"/>
      <c r="D6" s="111"/>
      <c r="E6" s="118"/>
      <c r="F6" s="118"/>
      <c r="G6" s="118"/>
      <c r="H6" s="4">
        <v>10</v>
      </c>
      <c r="I6" s="4" t="s">
        <v>100</v>
      </c>
      <c r="J6" s="4">
        <v>80</v>
      </c>
    </row>
    <row r="7" spans="1:10" x14ac:dyDescent="0.2">
      <c r="A7" s="97"/>
      <c r="B7" s="94"/>
      <c r="C7" s="111"/>
      <c r="D7" s="111"/>
      <c r="E7" s="119"/>
      <c r="F7" s="119"/>
      <c r="G7" s="119"/>
      <c r="H7" s="4">
        <v>2</v>
      </c>
      <c r="I7" s="4" t="s">
        <v>104</v>
      </c>
      <c r="J7" s="4">
        <v>70</v>
      </c>
    </row>
    <row r="8" spans="1:10" x14ac:dyDescent="0.2">
      <c r="A8" s="97"/>
      <c r="B8" s="94"/>
      <c r="C8" s="111"/>
      <c r="D8" s="111"/>
      <c r="E8" s="76">
        <f>(1/(SUM(H8:H8)))*SUMPRODUCT(H8:H8,J8:J8)</f>
        <v>0</v>
      </c>
      <c r="F8" s="76">
        <f>COUNT(H8:H8)/COUNT(H2:H17)</f>
        <v>6.25E-2</v>
      </c>
      <c r="G8" s="76" t="s">
        <v>81</v>
      </c>
      <c r="H8" s="5">
        <v>10</v>
      </c>
      <c r="I8" s="5" t="s">
        <v>94</v>
      </c>
      <c r="J8" s="5">
        <v>0</v>
      </c>
    </row>
    <row r="9" spans="1:10" x14ac:dyDescent="0.2">
      <c r="A9" s="97"/>
      <c r="B9" s="94"/>
      <c r="C9" s="111"/>
      <c r="D9" s="111"/>
      <c r="E9" s="113">
        <f>(1/(SUM(H9:H13)))*SUMPRODUCT(H9:H13,J9:J13)</f>
        <v>96.36363636363636</v>
      </c>
      <c r="F9" s="113">
        <f>COUNT(H9:H13)/COUNT(H2:H17)</f>
        <v>0.3125</v>
      </c>
      <c r="G9" s="113" t="s">
        <v>83</v>
      </c>
      <c r="H9" s="79">
        <v>8</v>
      </c>
      <c r="I9" s="71" t="s">
        <v>95</v>
      </c>
      <c r="J9" s="71">
        <v>100</v>
      </c>
    </row>
    <row r="10" spans="1:10" x14ac:dyDescent="0.2">
      <c r="A10" s="97"/>
      <c r="B10" s="94"/>
      <c r="C10" s="111"/>
      <c r="D10" s="111"/>
      <c r="E10" s="114"/>
      <c r="F10" s="114"/>
      <c r="G10" s="114"/>
      <c r="H10" s="79">
        <v>10</v>
      </c>
      <c r="I10" s="71" t="s">
        <v>96</v>
      </c>
      <c r="J10" s="71">
        <v>100</v>
      </c>
    </row>
    <row r="11" spans="1:10" x14ac:dyDescent="0.2">
      <c r="A11" s="97"/>
      <c r="B11" s="94"/>
      <c r="C11" s="111"/>
      <c r="D11" s="111"/>
      <c r="E11" s="114"/>
      <c r="F11" s="114"/>
      <c r="G11" s="114"/>
      <c r="H11" s="79">
        <v>10</v>
      </c>
      <c r="I11" s="71" t="s">
        <v>97</v>
      </c>
      <c r="J11" s="71">
        <v>100</v>
      </c>
    </row>
    <row r="12" spans="1:10" x14ac:dyDescent="0.2">
      <c r="A12" s="97"/>
      <c r="B12" s="94"/>
      <c r="C12" s="111"/>
      <c r="D12" s="111"/>
      <c r="E12" s="114"/>
      <c r="F12" s="114"/>
      <c r="G12" s="114"/>
      <c r="H12" s="79">
        <v>8</v>
      </c>
      <c r="I12" s="71" t="s">
        <v>98</v>
      </c>
      <c r="J12" s="71">
        <v>80</v>
      </c>
    </row>
    <row r="13" spans="1:10" x14ac:dyDescent="0.2">
      <c r="A13" s="97"/>
      <c r="B13" s="94"/>
      <c r="C13" s="111"/>
      <c r="D13" s="111"/>
      <c r="E13" s="115"/>
      <c r="F13" s="115"/>
      <c r="G13" s="115"/>
      <c r="H13" s="79">
        <v>8</v>
      </c>
      <c r="I13" s="71" t="s">
        <v>99</v>
      </c>
      <c r="J13" s="71">
        <v>100</v>
      </c>
    </row>
    <row r="14" spans="1:10" x14ac:dyDescent="0.2">
      <c r="A14" s="97"/>
      <c r="B14" s="94"/>
      <c r="C14" s="111"/>
      <c r="D14" s="111"/>
      <c r="E14" s="116">
        <f>(1/(SUM(H14:H17)))*SUMPRODUCT(H14:H17,J14:J17)</f>
        <v>100</v>
      </c>
      <c r="F14" s="116">
        <f>COUNT(H14:H17)/COUNT(H2:H17)</f>
        <v>0.25</v>
      </c>
      <c r="G14" s="116" t="s">
        <v>84</v>
      </c>
      <c r="H14" s="78">
        <v>2</v>
      </c>
      <c r="I14" s="6" t="s">
        <v>240</v>
      </c>
      <c r="J14" s="6">
        <v>100</v>
      </c>
    </row>
    <row r="15" spans="1:10" x14ac:dyDescent="0.2">
      <c r="A15" s="97"/>
      <c r="B15" s="94"/>
      <c r="C15" s="111"/>
      <c r="D15" s="111"/>
      <c r="E15" s="111"/>
      <c r="F15" s="111"/>
      <c r="G15" s="111"/>
      <c r="H15" s="78">
        <v>2</v>
      </c>
      <c r="I15" s="6" t="s">
        <v>137</v>
      </c>
      <c r="J15" s="6">
        <v>100</v>
      </c>
    </row>
    <row r="16" spans="1:10" x14ac:dyDescent="0.2">
      <c r="A16" s="97"/>
      <c r="B16" s="94"/>
      <c r="C16" s="111"/>
      <c r="D16" s="111"/>
      <c r="E16" s="111"/>
      <c r="F16" s="111"/>
      <c r="G16" s="111"/>
      <c r="H16" s="78">
        <v>2</v>
      </c>
      <c r="I16" s="6" t="s">
        <v>236</v>
      </c>
      <c r="J16" s="6">
        <v>100</v>
      </c>
    </row>
    <row r="17" spans="1:10" x14ac:dyDescent="0.2">
      <c r="A17" s="97"/>
      <c r="B17" s="94"/>
      <c r="C17" s="112"/>
      <c r="D17" s="112"/>
      <c r="E17" s="112"/>
      <c r="F17" s="112"/>
      <c r="G17" s="112"/>
      <c r="H17" s="6">
        <v>2</v>
      </c>
      <c r="I17" s="6" t="s">
        <v>135</v>
      </c>
      <c r="J17" s="6">
        <v>100</v>
      </c>
    </row>
    <row r="18" spans="1:10" x14ac:dyDescent="0.2">
      <c r="A18" s="97"/>
      <c r="B18" s="94"/>
      <c r="C18" s="90">
        <f>SUMPRODUCT(E18:E31,F18:F31)</f>
        <v>96.25</v>
      </c>
      <c r="D18" s="90" t="s">
        <v>24</v>
      </c>
      <c r="E18" s="121">
        <f>(1/(SUM(H18:H25)))*SUMPRODUCT(H18:H25,J18:J25)</f>
        <v>97.5</v>
      </c>
      <c r="F18" s="121">
        <f>COUNT(H18:H25)/COUNT(H18:H33)</f>
        <v>0.5</v>
      </c>
      <c r="G18" s="121" t="s">
        <v>85</v>
      </c>
      <c r="H18" s="7">
        <v>10</v>
      </c>
      <c r="I18" s="7" t="s">
        <v>241</v>
      </c>
      <c r="J18" s="7">
        <v>100</v>
      </c>
    </row>
    <row r="19" spans="1:10" x14ac:dyDescent="0.2">
      <c r="A19" s="97"/>
      <c r="B19" s="94"/>
      <c r="C19" s="91"/>
      <c r="D19" s="91"/>
      <c r="E19" s="122"/>
      <c r="F19" s="122"/>
      <c r="G19" s="122"/>
      <c r="H19" s="7">
        <v>10</v>
      </c>
      <c r="I19" s="7" t="s">
        <v>87</v>
      </c>
      <c r="J19" s="7">
        <v>100</v>
      </c>
    </row>
    <row r="20" spans="1:10" x14ac:dyDescent="0.2">
      <c r="A20" s="97"/>
      <c r="B20" s="94"/>
      <c r="C20" s="91"/>
      <c r="D20" s="91"/>
      <c r="E20" s="122"/>
      <c r="F20" s="122"/>
      <c r="G20" s="122"/>
      <c r="H20" s="7">
        <v>10</v>
      </c>
      <c r="I20" s="7" t="s">
        <v>88</v>
      </c>
      <c r="J20" s="7">
        <v>100</v>
      </c>
    </row>
    <row r="21" spans="1:10" x14ac:dyDescent="0.2">
      <c r="A21" s="97"/>
      <c r="B21" s="94"/>
      <c r="C21" s="91"/>
      <c r="D21" s="91"/>
      <c r="E21" s="122"/>
      <c r="F21" s="122"/>
      <c r="G21" s="122"/>
      <c r="H21" s="7">
        <v>10</v>
      </c>
      <c r="I21" s="7" t="s">
        <v>89</v>
      </c>
      <c r="J21" s="7">
        <v>100</v>
      </c>
    </row>
    <row r="22" spans="1:10" x14ac:dyDescent="0.2">
      <c r="A22" s="97"/>
      <c r="B22" s="94"/>
      <c r="C22" s="91"/>
      <c r="D22" s="91"/>
      <c r="E22" s="122"/>
      <c r="F22" s="122"/>
      <c r="G22" s="122"/>
      <c r="H22" s="7">
        <v>10</v>
      </c>
      <c r="I22" s="7" t="s">
        <v>90</v>
      </c>
      <c r="J22" s="7">
        <v>80</v>
      </c>
    </row>
    <row r="23" spans="1:10" x14ac:dyDescent="0.2">
      <c r="A23" s="97"/>
      <c r="B23" s="94"/>
      <c r="C23" s="91"/>
      <c r="D23" s="91"/>
      <c r="E23" s="122"/>
      <c r="F23" s="122"/>
      <c r="G23" s="122"/>
      <c r="H23" s="7">
        <v>10</v>
      </c>
      <c r="I23" s="7" t="s">
        <v>91</v>
      </c>
      <c r="J23" s="7">
        <v>100</v>
      </c>
    </row>
    <row r="24" spans="1:10" x14ac:dyDescent="0.2">
      <c r="A24" s="97"/>
      <c r="B24" s="94"/>
      <c r="C24" s="91"/>
      <c r="D24" s="92"/>
      <c r="E24" s="122"/>
      <c r="F24" s="122"/>
      <c r="G24" s="122"/>
      <c r="H24" s="86">
        <v>10</v>
      </c>
      <c r="I24" s="82" t="s">
        <v>242</v>
      </c>
      <c r="J24" s="7">
        <v>100</v>
      </c>
    </row>
    <row r="25" spans="1:10" x14ac:dyDescent="0.2">
      <c r="A25" s="97"/>
      <c r="B25" s="94"/>
      <c r="C25" s="91"/>
      <c r="D25" s="91"/>
      <c r="E25" s="123"/>
      <c r="F25" s="123"/>
      <c r="G25" s="123"/>
      <c r="H25" s="7">
        <v>10</v>
      </c>
      <c r="I25" s="7" t="s">
        <v>243</v>
      </c>
      <c r="J25" s="7">
        <v>100</v>
      </c>
    </row>
    <row r="26" spans="1:10" x14ac:dyDescent="0.2">
      <c r="A26" s="97"/>
      <c r="B26" s="94"/>
      <c r="C26" s="91"/>
      <c r="D26" s="91"/>
      <c r="E26" s="124">
        <f>(1/(SUM(H26:H29)))*SUMPRODUCT(H26:H29,J26:J29)</f>
        <v>90</v>
      </c>
      <c r="F26" s="124">
        <f>COUNT(H26:H29)/COUNT(H18:H33)</f>
        <v>0.25</v>
      </c>
      <c r="G26" s="124" t="s">
        <v>76</v>
      </c>
      <c r="H26" s="8">
        <v>10</v>
      </c>
      <c r="I26" s="8" t="s">
        <v>77</v>
      </c>
      <c r="J26" s="8">
        <v>100</v>
      </c>
    </row>
    <row r="27" spans="1:10" x14ac:dyDescent="0.2">
      <c r="A27" s="97"/>
      <c r="B27" s="94"/>
      <c r="C27" s="91"/>
      <c r="D27" s="91"/>
      <c r="E27" s="125"/>
      <c r="F27" s="125"/>
      <c r="G27" s="125"/>
      <c r="H27" s="8">
        <v>10</v>
      </c>
      <c r="I27" s="8" t="s">
        <v>78</v>
      </c>
      <c r="J27" s="8">
        <v>90</v>
      </c>
    </row>
    <row r="28" spans="1:10" x14ac:dyDescent="0.2">
      <c r="A28" s="97"/>
      <c r="B28" s="94"/>
      <c r="C28" s="91"/>
      <c r="D28" s="91"/>
      <c r="E28" s="125"/>
      <c r="F28" s="125"/>
      <c r="G28" s="125"/>
      <c r="H28" s="8">
        <v>10</v>
      </c>
      <c r="I28" s="8" t="s">
        <v>80</v>
      </c>
      <c r="J28" s="8">
        <v>90</v>
      </c>
    </row>
    <row r="29" spans="1:10" x14ac:dyDescent="0.2">
      <c r="A29" s="97"/>
      <c r="B29" s="94"/>
      <c r="C29" s="91"/>
      <c r="D29" s="91"/>
      <c r="E29" s="126"/>
      <c r="F29" s="126"/>
      <c r="G29" s="126"/>
      <c r="H29" s="8">
        <v>10</v>
      </c>
      <c r="I29" s="8" t="s">
        <v>79</v>
      </c>
      <c r="J29" s="8">
        <v>80</v>
      </c>
    </row>
    <row r="30" spans="1:10" x14ac:dyDescent="0.2">
      <c r="A30" s="97"/>
      <c r="B30" s="94"/>
      <c r="C30" s="91"/>
      <c r="D30" s="91"/>
      <c r="E30" s="90">
        <f>(1/(SUM(H30:H33)))*SUMPRODUCT(H30:H33,J30:J33)</f>
        <v>100</v>
      </c>
      <c r="F30" s="90">
        <f>COUNT(H30:H33)/COUNT(H18:H33)</f>
        <v>0.25</v>
      </c>
      <c r="G30" s="90" t="s">
        <v>51</v>
      </c>
      <c r="H30" s="9">
        <v>10</v>
      </c>
      <c r="I30" s="9" t="s">
        <v>92</v>
      </c>
      <c r="J30" s="9">
        <v>100</v>
      </c>
    </row>
    <row r="31" spans="1:10" x14ac:dyDescent="0.2">
      <c r="A31" s="97"/>
      <c r="B31" s="94"/>
      <c r="C31" s="91"/>
      <c r="D31" s="92"/>
      <c r="E31" s="91"/>
      <c r="F31" s="91"/>
      <c r="G31" s="91"/>
      <c r="H31" s="85">
        <v>10</v>
      </c>
      <c r="I31" s="9" t="s">
        <v>93</v>
      </c>
      <c r="J31" s="9">
        <v>100</v>
      </c>
    </row>
    <row r="32" spans="1:10" x14ac:dyDescent="0.2">
      <c r="A32" s="97"/>
      <c r="B32" s="94"/>
      <c r="C32" s="74"/>
      <c r="D32" s="83"/>
      <c r="E32" s="91"/>
      <c r="F32" s="91"/>
      <c r="G32" s="91"/>
      <c r="H32" s="85">
        <v>10</v>
      </c>
      <c r="I32" s="84" t="s">
        <v>245</v>
      </c>
      <c r="J32" s="9">
        <v>100</v>
      </c>
    </row>
    <row r="33" spans="1:10" x14ac:dyDescent="0.2">
      <c r="A33" s="97"/>
      <c r="B33" s="94"/>
      <c r="C33" s="74"/>
      <c r="D33" s="83"/>
      <c r="E33" s="120"/>
      <c r="F33" s="120"/>
      <c r="G33" s="120"/>
      <c r="H33" s="9">
        <v>10</v>
      </c>
      <c r="I33" s="9" t="s">
        <v>244</v>
      </c>
      <c r="J33" s="9">
        <v>100</v>
      </c>
    </row>
    <row r="34" spans="1:10" x14ac:dyDescent="0.2">
      <c r="A34" s="97"/>
      <c r="B34" s="94"/>
      <c r="C34" s="99">
        <f>SUMPRODUCT(E34:E42,F34:F42)</f>
        <v>88.022875816993462</v>
      </c>
      <c r="D34" s="102" t="s">
        <v>37</v>
      </c>
      <c r="E34" s="105">
        <f>(1/(SUM(H34:H37)))*SUMPRODUCT(H34:H37,J34:J37)</f>
        <v>91.17647058823529</v>
      </c>
      <c r="F34" s="105">
        <f>COUNT(H34:H37)/COUNT(H34:H42)</f>
        <v>0.44444444444444442</v>
      </c>
      <c r="G34" s="105" t="s">
        <v>105</v>
      </c>
      <c r="H34" s="10">
        <v>10</v>
      </c>
      <c r="I34" s="10" t="s">
        <v>106</v>
      </c>
      <c r="J34" s="10">
        <v>100</v>
      </c>
    </row>
    <row r="35" spans="1:10" x14ac:dyDescent="0.2">
      <c r="A35" s="97"/>
      <c r="B35" s="94"/>
      <c r="C35" s="100"/>
      <c r="D35" s="103"/>
      <c r="E35" s="106"/>
      <c r="F35" s="106"/>
      <c r="G35" s="106"/>
      <c r="H35" s="10">
        <v>8</v>
      </c>
      <c r="I35" s="10" t="s">
        <v>107</v>
      </c>
      <c r="J35" s="10">
        <v>100</v>
      </c>
    </row>
    <row r="36" spans="1:10" x14ac:dyDescent="0.2">
      <c r="A36" s="97"/>
      <c r="B36" s="94"/>
      <c r="C36" s="100"/>
      <c r="D36" s="103"/>
      <c r="E36" s="106"/>
      <c r="F36" s="106"/>
      <c r="G36" s="106"/>
      <c r="H36" s="10">
        <v>6</v>
      </c>
      <c r="I36" s="10" t="s">
        <v>108</v>
      </c>
      <c r="J36" s="10">
        <v>50</v>
      </c>
    </row>
    <row r="37" spans="1:10" x14ac:dyDescent="0.2">
      <c r="A37" s="97"/>
      <c r="B37" s="94"/>
      <c r="C37" s="100"/>
      <c r="D37" s="103"/>
      <c r="E37" s="107"/>
      <c r="F37" s="107"/>
      <c r="G37" s="107"/>
      <c r="H37" s="10">
        <v>10</v>
      </c>
      <c r="I37" s="10" t="s">
        <v>109</v>
      </c>
      <c r="J37" s="10">
        <v>100</v>
      </c>
    </row>
    <row r="38" spans="1:10" x14ac:dyDescent="0.2">
      <c r="A38" s="97"/>
      <c r="B38" s="94"/>
      <c r="C38" s="100"/>
      <c r="D38" s="103"/>
      <c r="E38" s="108">
        <f>(1/(SUM(H38:H39)))*SUMPRODUCT(H38:H39,J38:J39)</f>
        <v>81.25</v>
      </c>
      <c r="F38" s="108">
        <f>COUNT(H38:H39)/COUNT(H34:H42)</f>
        <v>0.22222222222222221</v>
      </c>
      <c r="G38" s="108" t="s">
        <v>110</v>
      </c>
      <c r="H38" s="11">
        <v>10</v>
      </c>
      <c r="I38" s="11" t="s">
        <v>115</v>
      </c>
      <c r="J38" s="11">
        <v>70</v>
      </c>
    </row>
    <row r="39" spans="1:10" x14ac:dyDescent="0.2">
      <c r="A39" s="97"/>
      <c r="B39" s="94"/>
      <c r="C39" s="100"/>
      <c r="D39" s="103"/>
      <c r="E39" s="109"/>
      <c r="F39" s="109"/>
      <c r="G39" s="109"/>
      <c r="H39" s="11">
        <v>6</v>
      </c>
      <c r="I39" s="11" t="s">
        <v>140</v>
      </c>
      <c r="J39" s="11">
        <v>100</v>
      </c>
    </row>
    <row r="40" spans="1:10" x14ac:dyDescent="0.2">
      <c r="A40" s="97"/>
      <c r="B40" s="94"/>
      <c r="C40" s="100"/>
      <c r="D40" s="103"/>
      <c r="E40" s="99">
        <f>(1/(SUM(H40:H42)))*SUMPRODUCT(H40:H42,J40:J42)</f>
        <v>88.333333333333329</v>
      </c>
      <c r="F40" s="99">
        <f>COUNT(H40:H42)/COUNT(H34:H42)</f>
        <v>0.33333333333333331</v>
      </c>
      <c r="G40" s="99" t="s">
        <v>111</v>
      </c>
      <c r="H40" s="12">
        <v>6</v>
      </c>
      <c r="I40" s="12" t="s">
        <v>113</v>
      </c>
      <c r="J40" s="12">
        <v>80</v>
      </c>
    </row>
    <row r="41" spans="1:10" x14ac:dyDescent="0.2">
      <c r="A41" s="97"/>
      <c r="B41" s="94"/>
      <c r="C41" s="100"/>
      <c r="D41" s="103"/>
      <c r="E41" s="100"/>
      <c r="F41" s="100"/>
      <c r="G41" s="100"/>
      <c r="H41" s="12">
        <v>8</v>
      </c>
      <c r="I41" s="12" t="s">
        <v>142</v>
      </c>
      <c r="J41" s="12">
        <v>80</v>
      </c>
    </row>
    <row r="42" spans="1:10" ht="16" thickBot="1" x14ac:dyDescent="0.25">
      <c r="A42" s="98"/>
      <c r="B42" s="95"/>
      <c r="C42" s="101"/>
      <c r="D42" s="104"/>
      <c r="E42" s="101"/>
      <c r="F42" s="101"/>
      <c r="G42" s="101"/>
      <c r="H42" s="63">
        <v>10</v>
      </c>
      <c r="I42" s="63" t="s">
        <v>114</v>
      </c>
      <c r="J42" s="63">
        <v>100</v>
      </c>
    </row>
    <row r="43" spans="1:10" x14ac:dyDescent="0.2">
      <c r="A43" s="80"/>
      <c r="B43" s="42"/>
    </row>
    <row r="46" spans="1:10" x14ac:dyDescent="0.2">
      <c r="I46" s="51"/>
    </row>
    <row r="47" spans="1:10" x14ac:dyDescent="0.2">
      <c r="I47" s="51"/>
    </row>
    <row r="48" spans="1:10" x14ac:dyDescent="0.2">
      <c r="I48" s="51"/>
    </row>
    <row r="49" spans="9:9" x14ac:dyDescent="0.2">
      <c r="I49" s="51"/>
    </row>
    <row r="50" spans="9:9" x14ac:dyDescent="0.2">
      <c r="I50" s="51"/>
    </row>
    <row r="51" spans="9:9" x14ac:dyDescent="0.2">
      <c r="I51" s="51"/>
    </row>
    <row r="53" spans="9:9" x14ac:dyDescent="0.2">
      <c r="I53" s="52"/>
    </row>
    <row r="54" spans="9:9" x14ac:dyDescent="0.2">
      <c r="I54" s="51"/>
    </row>
  </sheetData>
  <mergeCells count="35">
    <mergeCell ref="G30:G33"/>
    <mergeCell ref="F30:F33"/>
    <mergeCell ref="E30:E33"/>
    <mergeCell ref="G18:G25"/>
    <mergeCell ref="F18:F25"/>
    <mergeCell ref="E18:E25"/>
    <mergeCell ref="F26:F29"/>
    <mergeCell ref="E26:E29"/>
    <mergeCell ref="G26:G29"/>
    <mergeCell ref="C2:C17"/>
    <mergeCell ref="G9:G13"/>
    <mergeCell ref="F9:F13"/>
    <mergeCell ref="E9:E13"/>
    <mergeCell ref="E14:E17"/>
    <mergeCell ref="F14:F17"/>
    <mergeCell ref="G14:G17"/>
    <mergeCell ref="G2:G7"/>
    <mergeCell ref="F2:F7"/>
    <mergeCell ref="E2:E7"/>
    <mergeCell ref="C18:C31"/>
    <mergeCell ref="D18:D31"/>
    <mergeCell ref="B2:B42"/>
    <mergeCell ref="A2:A42"/>
    <mergeCell ref="G40:G42"/>
    <mergeCell ref="C34:C42"/>
    <mergeCell ref="D34:D42"/>
    <mergeCell ref="E34:E37"/>
    <mergeCell ref="F34:F37"/>
    <mergeCell ref="G34:G37"/>
    <mergeCell ref="E38:E39"/>
    <mergeCell ref="F38:F39"/>
    <mergeCell ref="G38:G39"/>
    <mergeCell ref="E40:E42"/>
    <mergeCell ref="F40:F42"/>
    <mergeCell ref="D2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L30"/>
  <sheetViews>
    <sheetView zoomScale="94" workbookViewId="0">
      <selection activeCell="F6" sqref="F6:F7"/>
    </sheetView>
  </sheetViews>
  <sheetFormatPr baseColWidth="10" defaultColWidth="8.6640625" defaultRowHeight="15" x14ac:dyDescent="0.2"/>
  <cols>
    <col min="4" max="4" width="15" customWidth="1"/>
    <col min="6" max="6" width="13" customWidth="1"/>
    <col min="7" max="7" width="25" customWidth="1"/>
    <col min="8" max="8" width="12.6640625" customWidth="1"/>
    <col min="9" max="9" width="65.6640625" customWidth="1"/>
    <col min="10" max="10" width="17.1640625" customWidth="1"/>
    <col min="12" max="12" width="38.1640625" customWidth="1"/>
  </cols>
  <sheetData>
    <row r="1" spans="1:12" ht="8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2">
      <c r="A2" s="144">
        <f>(LOG(1+C2/100)+LOG(1+C11/100)+LOG(1+C20/100))/(3*LOG(2))</f>
        <v>0.84419800923699073</v>
      </c>
      <c r="B2" s="93">
        <f>SQRT((1-C2/100)^2+(1-C11/100)^2+(1-C20/100)^2)</f>
        <v>0.43459715775847046</v>
      </c>
      <c r="C2" s="110">
        <f>SUMPRODUCT(E2:E10,F2:F10)</f>
        <v>99.999999999999986</v>
      </c>
      <c r="D2" s="110" t="s">
        <v>58</v>
      </c>
      <c r="E2" s="132">
        <f>(1/(SUM(H2:H5)))*SUMPRODUCT(H2:H5,J2:J5)</f>
        <v>100</v>
      </c>
      <c r="F2" s="132">
        <f>COUNT(H2:H5)/COUNT(H2:H10)</f>
        <v>0.44444444444444442</v>
      </c>
      <c r="G2" s="132" t="s">
        <v>12</v>
      </c>
      <c r="H2" s="4">
        <v>10</v>
      </c>
      <c r="I2" s="4" t="s">
        <v>13</v>
      </c>
      <c r="J2" s="4">
        <v>100</v>
      </c>
    </row>
    <row r="3" spans="1:12" x14ac:dyDescent="0.2">
      <c r="A3" s="145"/>
      <c r="B3" s="94"/>
      <c r="C3" s="111"/>
      <c r="D3" s="111"/>
      <c r="E3" s="132"/>
      <c r="F3" s="132"/>
      <c r="G3" s="132"/>
      <c r="H3" s="4">
        <v>10</v>
      </c>
      <c r="I3" s="4" t="s">
        <v>14</v>
      </c>
      <c r="J3" s="4">
        <v>100</v>
      </c>
    </row>
    <row r="4" spans="1:12" x14ac:dyDescent="0.2">
      <c r="A4" s="145"/>
      <c r="B4" s="94"/>
      <c r="C4" s="111"/>
      <c r="D4" s="111"/>
      <c r="E4" s="132"/>
      <c r="F4" s="132"/>
      <c r="G4" s="132"/>
      <c r="H4" s="4">
        <v>10</v>
      </c>
      <c r="I4" s="4" t="s">
        <v>15</v>
      </c>
      <c r="J4" s="4">
        <v>100</v>
      </c>
    </row>
    <row r="5" spans="1:12" x14ac:dyDescent="0.2">
      <c r="A5" s="145"/>
      <c r="B5" s="94"/>
      <c r="C5" s="111"/>
      <c r="D5" s="111"/>
      <c r="E5" s="132"/>
      <c r="F5" s="132"/>
      <c r="G5" s="132"/>
      <c r="H5" s="4">
        <v>10</v>
      </c>
      <c r="I5" s="4" t="s">
        <v>16</v>
      </c>
      <c r="J5" s="4">
        <v>100</v>
      </c>
    </row>
    <row r="6" spans="1:12" x14ac:dyDescent="0.2">
      <c r="A6" s="145"/>
      <c r="B6" s="94"/>
      <c r="C6" s="111"/>
      <c r="D6" s="111"/>
      <c r="E6" s="133">
        <f>(1/(SUM(H6:H7)))*SUMPRODUCT(H6:H7,J6:J7)</f>
        <v>100</v>
      </c>
      <c r="F6" s="133">
        <f>COUNT(H6:H7)/COUNT(H2:H10)</f>
        <v>0.22222222222222221</v>
      </c>
      <c r="G6" s="133" t="s">
        <v>17</v>
      </c>
      <c r="H6" s="5">
        <v>4</v>
      </c>
      <c r="I6" s="5" t="s">
        <v>18</v>
      </c>
      <c r="J6" s="5">
        <v>100</v>
      </c>
    </row>
    <row r="7" spans="1:12" x14ac:dyDescent="0.2">
      <c r="A7" s="145"/>
      <c r="B7" s="94"/>
      <c r="C7" s="111"/>
      <c r="D7" s="111"/>
      <c r="E7" s="133"/>
      <c r="F7" s="133"/>
      <c r="G7" s="133"/>
      <c r="H7" s="5">
        <v>6</v>
      </c>
      <c r="I7" s="5" t="s">
        <v>19</v>
      </c>
      <c r="J7" s="5">
        <v>100</v>
      </c>
    </row>
    <row r="8" spans="1:12" x14ac:dyDescent="0.2">
      <c r="A8" s="145"/>
      <c r="B8" s="94"/>
      <c r="C8" s="111"/>
      <c r="D8" s="111"/>
      <c r="E8" s="130">
        <f>(1/(SUM(H8:H10)))*SUMPRODUCT(H8:H10,J8:J10)</f>
        <v>100</v>
      </c>
      <c r="F8" s="130">
        <f>COUNT(H8:H10)/COUNT(H2:H10)</f>
        <v>0.33333333333333331</v>
      </c>
      <c r="G8" s="130" t="s">
        <v>20</v>
      </c>
      <c r="H8" s="6">
        <v>6</v>
      </c>
      <c r="I8" s="6" t="s">
        <v>21</v>
      </c>
      <c r="J8" s="6">
        <v>100</v>
      </c>
    </row>
    <row r="9" spans="1:12" x14ac:dyDescent="0.2">
      <c r="A9" s="145"/>
      <c r="B9" s="94"/>
      <c r="C9" s="111"/>
      <c r="D9" s="111"/>
      <c r="E9" s="130"/>
      <c r="F9" s="130"/>
      <c r="G9" s="130"/>
      <c r="H9" s="6">
        <v>6</v>
      </c>
      <c r="I9" s="6" t="s">
        <v>22</v>
      </c>
      <c r="J9" s="6">
        <v>100</v>
      </c>
    </row>
    <row r="10" spans="1:12" x14ac:dyDescent="0.2">
      <c r="A10" s="145"/>
      <c r="B10" s="94"/>
      <c r="C10" s="112"/>
      <c r="D10" s="112"/>
      <c r="E10" s="130"/>
      <c r="F10" s="130"/>
      <c r="G10" s="130"/>
      <c r="H10" s="6">
        <v>4</v>
      </c>
      <c r="I10" s="6" t="s">
        <v>23</v>
      </c>
      <c r="J10" s="6">
        <v>100</v>
      </c>
    </row>
    <row r="11" spans="1:12" x14ac:dyDescent="0.2">
      <c r="A11" s="145"/>
      <c r="B11" s="94"/>
      <c r="C11" s="90">
        <f>SUMPRODUCT(E11:E19,F11:F19)</f>
        <v>78.03418803418802</v>
      </c>
      <c r="D11" s="90" t="s">
        <v>24</v>
      </c>
      <c r="E11" s="140">
        <f>(1/(SUM(H11:H14)))*SUMPRODUCT(H11:H14,J11:J14)</f>
        <v>75</v>
      </c>
      <c r="F11" s="140">
        <f>COUNT(H11:H14)/COUNT(H11:H19)</f>
        <v>0.44444444444444442</v>
      </c>
      <c r="G11" s="140" t="s">
        <v>25</v>
      </c>
      <c r="H11" s="7">
        <v>10</v>
      </c>
      <c r="I11" s="7" t="s">
        <v>26</v>
      </c>
      <c r="J11" s="7">
        <v>100</v>
      </c>
    </row>
    <row r="12" spans="1:12" x14ac:dyDescent="0.2">
      <c r="A12" s="145"/>
      <c r="B12" s="94"/>
      <c r="C12" s="91"/>
      <c r="D12" s="91"/>
      <c r="E12" s="140"/>
      <c r="F12" s="140"/>
      <c r="G12" s="140"/>
      <c r="H12" s="7">
        <v>10</v>
      </c>
      <c r="I12" s="7" t="s">
        <v>27</v>
      </c>
      <c r="J12" s="7">
        <v>100</v>
      </c>
    </row>
    <row r="13" spans="1:12" x14ac:dyDescent="0.2">
      <c r="A13" s="145"/>
      <c r="B13" s="94"/>
      <c r="C13" s="91"/>
      <c r="D13" s="91"/>
      <c r="E13" s="140"/>
      <c r="F13" s="140"/>
      <c r="G13" s="140"/>
      <c r="H13" s="7">
        <v>10</v>
      </c>
      <c r="I13" s="7" t="s">
        <v>28</v>
      </c>
      <c r="J13" s="7">
        <v>50</v>
      </c>
      <c r="L13" t="s">
        <v>47</v>
      </c>
    </row>
    <row r="14" spans="1:12" x14ac:dyDescent="0.2">
      <c r="A14" s="145"/>
      <c r="B14" s="94"/>
      <c r="C14" s="91"/>
      <c r="D14" s="91"/>
      <c r="E14" s="140"/>
      <c r="F14" s="140"/>
      <c r="G14" s="140"/>
      <c r="H14" s="7">
        <v>10</v>
      </c>
      <c r="I14" s="7" t="s">
        <v>29</v>
      </c>
      <c r="J14" s="7">
        <v>50</v>
      </c>
      <c r="L14" t="s">
        <v>48</v>
      </c>
    </row>
    <row r="15" spans="1:12" x14ac:dyDescent="0.2">
      <c r="A15" s="145"/>
      <c r="B15" s="94"/>
      <c r="C15" s="91"/>
      <c r="D15" s="91"/>
      <c r="E15" s="141">
        <f>(1/(SUM(H15:H17)))*SUMPRODUCT(H15:H17,J15:J17)</f>
        <v>80.769230769230774</v>
      </c>
      <c r="F15" s="141">
        <f>COUNT(H15:H17)/COUNT(H11:H19)</f>
        <v>0.33333333333333331</v>
      </c>
      <c r="G15" s="141" t="s">
        <v>30</v>
      </c>
      <c r="H15" s="8">
        <v>8</v>
      </c>
      <c r="I15" s="8" t="s">
        <v>31</v>
      </c>
      <c r="J15" s="8">
        <v>100</v>
      </c>
    </row>
    <row r="16" spans="1:12" x14ac:dyDescent="0.2">
      <c r="A16" s="145"/>
      <c r="B16" s="94"/>
      <c r="C16" s="91"/>
      <c r="D16" s="91"/>
      <c r="E16" s="141"/>
      <c r="F16" s="141"/>
      <c r="G16" s="141"/>
      <c r="H16" s="8">
        <v>8</v>
      </c>
      <c r="I16" s="8" t="s">
        <v>32</v>
      </c>
      <c r="J16" s="8">
        <v>100</v>
      </c>
    </row>
    <row r="17" spans="1:12" x14ac:dyDescent="0.2">
      <c r="A17" s="145"/>
      <c r="B17" s="94"/>
      <c r="C17" s="91"/>
      <c r="D17" s="91"/>
      <c r="E17" s="141"/>
      <c r="F17" s="141"/>
      <c r="G17" s="141"/>
      <c r="H17" s="8">
        <v>10</v>
      </c>
      <c r="I17" s="8" t="s">
        <v>33</v>
      </c>
      <c r="J17" s="8">
        <v>50</v>
      </c>
      <c r="L17" t="s">
        <v>49</v>
      </c>
    </row>
    <row r="18" spans="1:12" x14ac:dyDescent="0.2">
      <c r="A18" s="145"/>
      <c r="B18" s="94"/>
      <c r="C18" s="91"/>
      <c r="D18" s="91"/>
      <c r="E18" s="131">
        <f>(1/(SUM(H18:H19)))*SUMPRODUCT(H18:H19,J18:J19)</f>
        <v>80</v>
      </c>
      <c r="F18" s="131">
        <f>COUNT(H18:H19)/COUNT(H11:H19)</f>
        <v>0.22222222222222221</v>
      </c>
      <c r="G18" s="131" t="s">
        <v>34</v>
      </c>
      <c r="H18" s="9">
        <v>6</v>
      </c>
      <c r="I18" s="9" t="s">
        <v>35</v>
      </c>
      <c r="J18" s="9">
        <v>100</v>
      </c>
    </row>
    <row r="19" spans="1:12" ht="16" thickBot="1" x14ac:dyDescent="0.25">
      <c r="A19" s="145"/>
      <c r="B19" s="94"/>
      <c r="C19" s="91"/>
      <c r="D19" s="120"/>
      <c r="E19" s="131"/>
      <c r="F19" s="131"/>
      <c r="G19" s="131"/>
      <c r="H19" s="9">
        <v>4</v>
      </c>
      <c r="I19" s="9" t="s">
        <v>36</v>
      </c>
      <c r="J19" s="9">
        <v>50</v>
      </c>
      <c r="L19" t="s">
        <v>50</v>
      </c>
    </row>
    <row r="20" spans="1:12" x14ac:dyDescent="0.2">
      <c r="A20" s="145"/>
      <c r="B20" s="142"/>
      <c r="C20" s="134">
        <f>SUMPRODUCT(E20:E25,F20:F25)</f>
        <v>62.5</v>
      </c>
      <c r="D20" s="102" t="s">
        <v>51</v>
      </c>
      <c r="E20" s="137">
        <f>(1/(SUM(H20:H21)))*SUMPRODUCT(H20:H21,J20:J21)</f>
        <v>75</v>
      </c>
      <c r="F20" s="127">
        <f>COUNT(H20:H21)/COUNT(H20:H25)</f>
        <v>0.33333333333333331</v>
      </c>
      <c r="G20" s="127" t="s">
        <v>38</v>
      </c>
      <c r="H20" s="10">
        <v>10</v>
      </c>
      <c r="I20" s="10" t="s">
        <v>39</v>
      </c>
      <c r="J20" s="10">
        <v>100</v>
      </c>
    </row>
    <row r="21" spans="1:12" x14ac:dyDescent="0.2">
      <c r="A21" s="145"/>
      <c r="B21" s="142"/>
      <c r="C21" s="135"/>
      <c r="D21" s="103"/>
      <c r="E21" s="137"/>
      <c r="F21" s="127"/>
      <c r="G21" s="127"/>
      <c r="H21" s="10">
        <v>10</v>
      </c>
      <c r="I21" s="10" t="s">
        <v>40</v>
      </c>
      <c r="J21" s="10">
        <v>50</v>
      </c>
      <c r="L21" t="s">
        <v>52</v>
      </c>
    </row>
    <row r="22" spans="1:12" x14ac:dyDescent="0.2">
      <c r="A22" s="145"/>
      <c r="B22" s="142"/>
      <c r="C22" s="135"/>
      <c r="D22" s="103"/>
      <c r="E22" s="138">
        <f>(1/(SUM(H22:H23)))*SUMPRODUCT(H22:H23,J22:J23)</f>
        <v>37.5</v>
      </c>
      <c r="F22" s="128">
        <f>COUNT(H22:H23)/COUNT(H20:H25)</f>
        <v>0.33333333333333331</v>
      </c>
      <c r="G22" s="128" t="s">
        <v>41</v>
      </c>
      <c r="H22" s="11">
        <v>6</v>
      </c>
      <c r="I22" s="11" t="s">
        <v>42</v>
      </c>
      <c r="J22" s="11">
        <v>50</v>
      </c>
      <c r="L22" t="s">
        <v>53</v>
      </c>
    </row>
    <row r="23" spans="1:12" x14ac:dyDescent="0.2">
      <c r="A23" s="145"/>
      <c r="B23" s="142"/>
      <c r="C23" s="135"/>
      <c r="D23" s="103"/>
      <c r="E23" s="138"/>
      <c r="F23" s="128"/>
      <c r="G23" s="128"/>
      <c r="H23" s="11">
        <v>2</v>
      </c>
      <c r="I23" s="11" t="s">
        <v>43</v>
      </c>
      <c r="J23" s="11">
        <v>0</v>
      </c>
      <c r="L23" t="s">
        <v>54</v>
      </c>
    </row>
    <row r="24" spans="1:12" x14ac:dyDescent="0.2">
      <c r="A24" s="145"/>
      <c r="B24" s="142"/>
      <c r="C24" s="135"/>
      <c r="D24" s="103"/>
      <c r="E24" s="139">
        <f>(1/(SUM(H24:H25)))*SUMPRODUCT(H24:H25,J24:J25)</f>
        <v>75</v>
      </c>
      <c r="F24" s="129">
        <f>COUNT(H24:H25)/COUNT(H20:H25)</f>
        <v>0.33333333333333331</v>
      </c>
      <c r="G24" s="129" t="s">
        <v>44</v>
      </c>
      <c r="H24" s="12">
        <v>6</v>
      </c>
      <c r="I24" s="12" t="s">
        <v>45</v>
      </c>
      <c r="J24" s="12">
        <v>50</v>
      </c>
      <c r="L24" t="s">
        <v>55</v>
      </c>
    </row>
    <row r="25" spans="1:12" ht="16" thickBot="1" x14ac:dyDescent="0.25">
      <c r="A25" s="146"/>
      <c r="B25" s="143"/>
      <c r="C25" s="136"/>
      <c r="D25" s="104"/>
      <c r="E25" s="139"/>
      <c r="F25" s="129"/>
      <c r="G25" s="129"/>
      <c r="H25" s="12">
        <v>6</v>
      </c>
      <c r="I25" s="12" t="s">
        <v>46</v>
      </c>
      <c r="J25" s="12">
        <v>100</v>
      </c>
    </row>
    <row r="28" spans="1:12" x14ac:dyDescent="0.2">
      <c r="D28" t="s">
        <v>56</v>
      </c>
    </row>
    <row r="29" spans="1:12" x14ac:dyDescent="0.2">
      <c r="D29" t="s">
        <v>57</v>
      </c>
    </row>
    <row r="30" spans="1:12" x14ac:dyDescent="0.2">
      <c r="D30" t="s">
        <v>112</v>
      </c>
    </row>
  </sheetData>
  <mergeCells count="35">
    <mergeCell ref="B2:B25"/>
    <mergeCell ref="A2:A25"/>
    <mergeCell ref="E15:E17"/>
    <mergeCell ref="F15:F17"/>
    <mergeCell ref="E18:E19"/>
    <mergeCell ref="F18:F19"/>
    <mergeCell ref="D11:D19"/>
    <mergeCell ref="D2:D10"/>
    <mergeCell ref="F11:F14"/>
    <mergeCell ref="E11:E14"/>
    <mergeCell ref="C11:C19"/>
    <mergeCell ref="C2:C10"/>
    <mergeCell ref="E6:E7"/>
    <mergeCell ref="E8:E10"/>
    <mergeCell ref="G2:G5"/>
    <mergeCell ref="G6:G7"/>
    <mergeCell ref="G8:G10"/>
    <mergeCell ref="C20:C25"/>
    <mergeCell ref="E20:E21"/>
    <mergeCell ref="F2:F5"/>
    <mergeCell ref="E2:E5"/>
    <mergeCell ref="F20:F21"/>
    <mergeCell ref="E22:E23"/>
    <mergeCell ref="F22:F23"/>
    <mergeCell ref="E24:E25"/>
    <mergeCell ref="F6:F7"/>
    <mergeCell ref="F24:F25"/>
    <mergeCell ref="D20:D25"/>
    <mergeCell ref="G11:G14"/>
    <mergeCell ref="G15:G17"/>
    <mergeCell ref="G20:G21"/>
    <mergeCell ref="G22:G23"/>
    <mergeCell ref="G24:G25"/>
    <mergeCell ref="F8:F10"/>
    <mergeCell ref="G18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36"/>
  <sheetViews>
    <sheetView workbookViewId="0">
      <selection activeCell="A9" sqref="A9"/>
    </sheetView>
  </sheetViews>
  <sheetFormatPr baseColWidth="10" defaultColWidth="8.6640625" defaultRowHeight="15" x14ac:dyDescent="0.2"/>
  <cols>
    <col min="1" max="2" width="35.6640625" customWidth="1"/>
    <col min="3" max="7" width="25.6640625" customWidth="1"/>
  </cols>
  <sheetData>
    <row r="1" spans="1:7" x14ac:dyDescent="0.2">
      <c r="A1" s="19" t="s">
        <v>3</v>
      </c>
      <c r="B1" s="13" t="s">
        <v>11</v>
      </c>
    </row>
    <row r="2" spans="1:7" x14ac:dyDescent="0.2">
      <c r="A2" s="19" t="s">
        <v>6</v>
      </c>
      <c r="B2" s="13" t="s">
        <v>82</v>
      </c>
    </row>
    <row r="4" spans="1:7" x14ac:dyDescent="0.2">
      <c r="C4" s="147" t="s">
        <v>59</v>
      </c>
      <c r="D4" s="147"/>
      <c r="E4" s="147"/>
      <c r="F4" s="147"/>
      <c r="G4" s="147"/>
    </row>
    <row r="5" spans="1:7" x14ac:dyDescent="0.2">
      <c r="A5" s="14" t="s">
        <v>8</v>
      </c>
      <c r="B5" s="14" t="s">
        <v>60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</row>
    <row r="6" spans="1:7" ht="78.75" customHeight="1" x14ac:dyDescent="0.2">
      <c r="A6" s="22" t="s">
        <v>101</v>
      </c>
      <c r="B6" s="30" t="s">
        <v>116</v>
      </c>
      <c r="C6" s="16" t="s">
        <v>117</v>
      </c>
      <c r="D6" s="25"/>
      <c r="E6" s="16" t="s">
        <v>118</v>
      </c>
      <c r="F6" s="16"/>
      <c r="G6" s="16" t="s">
        <v>145</v>
      </c>
    </row>
    <row r="7" spans="1:7" ht="51" customHeight="1" x14ac:dyDescent="0.2">
      <c r="A7" s="22" t="s">
        <v>102</v>
      </c>
      <c r="B7" s="31" t="s">
        <v>119</v>
      </c>
      <c r="C7" s="18" t="s">
        <v>120</v>
      </c>
      <c r="D7" s="26"/>
      <c r="E7" s="18" t="s">
        <v>157</v>
      </c>
      <c r="F7" s="26"/>
      <c r="G7" s="18" t="s">
        <v>121</v>
      </c>
    </row>
    <row r="8" spans="1:7" ht="73.5" customHeight="1" x14ac:dyDescent="0.2">
      <c r="A8" s="22" t="s">
        <v>259</v>
      </c>
      <c r="B8" s="32" t="s">
        <v>258</v>
      </c>
      <c r="C8" s="28" t="s">
        <v>260</v>
      </c>
      <c r="D8" s="28"/>
      <c r="E8" s="28" t="s">
        <v>261</v>
      </c>
      <c r="F8" s="28"/>
      <c r="G8" s="28" t="s">
        <v>262</v>
      </c>
    </row>
    <row r="9" spans="1:7" ht="66" customHeight="1" x14ac:dyDescent="0.2">
      <c r="A9" s="22" t="s">
        <v>103</v>
      </c>
      <c r="B9" s="31" t="s">
        <v>122</v>
      </c>
      <c r="C9" s="18" t="s">
        <v>123</v>
      </c>
      <c r="D9" s="26"/>
      <c r="E9" s="18" t="s">
        <v>124</v>
      </c>
      <c r="F9" s="26"/>
      <c r="G9" s="18" t="s">
        <v>125</v>
      </c>
    </row>
    <row r="10" spans="1:7" ht="64" x14ac:dyDescent="0.2">
      <c r="A10" s="22" t="s">
        <v>100</v>
      </c>
      <c r="B10" s="31" t="s">
        <v>129</v>
      </c>
      <c r="C10" s="18" t="s">
        <v>130</v>
      </c>
      <c r="D10" s="26"/>
      <c r="E10" s="18" t="s">
        <v>132</v>
      </c>
      <c r="F10" s="26"/>
      <c r="G10" s="18" t="s">
        <v>134</v>
      </c>
    </row>
    <row r="11" spans="1:7" ht="32" x14ac:dyDescent="0.2">
      <c r="A11" s="22" t="s">
        <v>104</v>
      </c>
      <c r="B11" s="31" t="s">
        <v>136</v>
      </c>
      <c r="C11" s="18" t="s">
        <v>141</v>
      </c>
      <c r="D11" s="26"/>
      <c r="E11" s="18" t="s">
        <v>143</v>
      </c>
      <c r="F11" s="26"/>
      <c r="G11" s="18" t="s">
        <v>144</v>
      </c>
    </row>
    <row r="13" spans="1:7" x14ac:dyDescent="0.2">
      <c r="A13" s="19" t="s">
        <v>6</v>
      </c>
      <c r="B13" s="13" t="s">
        <v>81</v>
      </c>
    </row>
    <row r="15" spans="1:7" x14ac:dyDescent="0.2">
      <c r="C15" s="148" t="s">
        <v>59</v>
      </c>
      <c r="D15" s="148"/>
      <c r="E15" s="148"/>
      <c r="F15" s="148"/>
      <c r="G15" s="148"/>
    </row>
    <row r="16" spans="1:7" x14ac:dyDescent="0.2">
      <c r="A16" s="14" t="s">
        <v>8</v>
      </c>
      <c r="B16" s="14" t="s">
        <v>60</v>
      </c>
      <c r="C16" s="14">
        <v>0</v>
      </c>
      <c r="D16" s="14">
        <v>25</v>
      </c>
      <c r="E16" s="14">
        <v>50</v>
      </c>
      <c r="F16" s="14">
        <v>75</v>
      </c>
      <c r="G16" s="14">
        <v>100</v>
      </c>
    </row>
    <row r="17" spans="1:7" ht="86.25" customHeight="1" x14ac:dyDescent="0.2">
      <c r="A17" s="23" t="s">
        <v>94</v>
      </c>
      <c r="B17" s="32" t="s">
        <v>162</v>
      </c>
      <c r="C17" s="28" t="s">
        <v>168</v>
      </c>
      <c r="D17" s="27"/>
      <c r="E17" s="28" t="s">
        <v>169</v>
      </c>
      <c r="F17" s="28"/>
      <c r="G17" s="28" t="s">
        <v>170</v>
      </c>
    </row>
    <row r="18" spans="1:7" ht="14" customHeight="1" x14ac:dyDescent="0.2">
      <c r="A18" s="81"/>
      <c r="B18" s="81"/>
    </row>
    <row r="19" spans="1:7" x14ac:dyDescent="0.2">
      <c r="A19" s="19" t="s">
        <v>6</v>
      </c>
      <c r="B19" s="13" t="s">
        <v>83</v>
      </c>
    </row>
    <row r="21" spans="1:7" x14ac:dyDescent="0.2">
      <c r="C21" s="148" t="s">
        <v>59</v>
      </c>
      <c r="D21" s="148"/>
      <c r="E21" s="148"/>
      <c r="F21" s="148"/>
      <c r="G21" s="148"/>
    </row>
    <row r="22" spans="1:7" x14ac:dyDescent="0.2">
      <c r="A22" s="14" t="s">
        <v>8</v>
      </c>
      <c r="B22" s="14" t="s">
        <v>60</v>
      </c>
      <c r="C22" s="14">
        <v>0</v>
      </c>
      <c r="D22" s="14">
        <v>25</v>
      </c>
      <c r="E22" s="14">
        <v>50</v>
      </c>
      <c r="F22" s="14">
        <v>75</v>
      </c>
      <c r="G22" s="14">
        <v>100</v>
      </c>
    </row>
    <row r="23" spans="1:7" ht="80" x14ac:dyDescent="0.2">
      <c r="A23" s="72" t="s">
        <v>95</v>
      </c>
      <c r="B23" s="31" t="s">
        <v>171</v>
      </c>
      <c r="C23" s="18" t="s">
        <v>172</v>
      </c>
      <c r="D23" s="18"/>
      <c r="E23" s="18" t="s">
        <v>180</v>
      </c>
      <c r="F23" s="26"/>
      <c r="G23" s="18" t="s">
        <v>182</v>
      </c>
    </row>
    <row r="24" spans="1:7" ht="48" x14ac:dyDescent="0.2">
      <c r="A24" s="73" t="s">
        <v>96</v>
      </c>
      <c r="B24" s="32" t="s">
        <v>184</v>
      </c>
      <c r="C24" s="28" t="s">
        <v>192</v>
      </c>
      <c r="D24" s="27"/>
      <c r="E24" s="28" t="s">
        <v>193</v>
      </c>
      <c r="F24" s="27"/>
      <c r="G24" s="28" t="s">
        <v>198</v>
      </c>
    </row>
    <row r="25" spans="1:7" ht="64" x14ac:dyDescent="0.2">
      <c r="A25" s="73" t="s">
        <v>97</v>
      </c>
      <c r="B25" s="31" t="s">
        <v>185</v>
      </c>
      <c r="C25" s="18" t="s">
        <v>199</v>
      </c>
      <c r="D25" s="18"/>
      <c r="E25" s="18" t="s">
        <v>201</v>
      </c>
      <c r="F25" s="26"/>
      <c r="G25" s="18" t="s">
        <v>202</v>
      </c>
    </row>
    <row r="26" spans="1:7" ht="109.5" customHeight="1" x14ac:dyDescent="0.2">
      <c r="A26" s="73" t="s">
        <v>98</v>
      </c>
      <c r="B26" s="31" t="s">
        <v>188</v>
      </c>
      <c r="C26" s="18" t="s">
        <v>204</v>
      </c>
      <c r="D26" s="18"/>
      <c r="E26" s="18" t="s">
        <v>206</v>
      </c>
      <c r="F26" s="26"/>
      <c r="G26" s="18" t="s">
        <v>208</v>
      </c>
    </row>
    <row r="27" spans="1:7" ht="81" customHeight="1" x14ac:dyDescent="0.2">
      <c r="A27" s="73" t="s">
        <v>99</v>
      </c>
      <c r="B27" s="31" t="s">
        <v>191</v>
      </c>
      <c r="C27" s="18" t="s">
        <v>210</v>
      </c>
      <c r="D27" s="18"/>
      <c r="E27" s="18" t="s">
        <v>211</v>
      </c>
      <c r="F27" s="26"/>
      <c r="G27" s="18" t="s">
        <v>213</v>
      </c>
    </row>
    <row r="28" spans="1:7" ht="93" customHeight="1" x14ac:dyDescent="0.2"/>
    <row r="29" spans="1:7" x14ac:dyDescent="0.2">
      <c r="A29" s="19" t="s">
        <v>6</v>
      </c>
      <c r="B29" s="13" t="s">
        <v>84</v>
      </c>
    </row>
    <row r="31" spans="1:7" x14ac:dyDescent="0.2">
      <c r="C31" s="148" t="s">
        <v>59</v>
      </c>
      <c r="D31" s="148"/>
      <c r="E31" s="148"/>
      <c r="F31" s="148"/>
      <c r="G31" s="148"/>
    </row>
    <row r="32" spans="1:7" x14ac:dyDescent="0.2">
      <c r="A32" s="14" t="s">
        <v>8</v>
      </c>
      <c r="B32" s="14" t="s">
        <v>60</v>
      </c>
      <c r="C32" s="14">
        <v>0</v>
      </c>
      <c r="D32" s="14">
        <v>25</v>
      </c>
      <c r="E32" s="14">
        <v>50</v>
      </c>
      <c r="F32" s="14">
        <v>75</v>
      </c>
      <c r="G32" s="14">
        <v>100</v>
      </c>
    </row>
    <row r="33" spans="1:7" ht="64" x14ac:dyDescent="0.2">
      <c r="A33" s="24" t="s">
        <v>138</v>
      </c>
      <c r="B33" s="31" t="s">
        <v>219</v>
      </c>
      <c r="C33" s="18" t="s">
        <v>227</v>
      </c>
      <c r="D33" s="18"/>
      <c r="E33" s="18" t="s">
        <v>228</v>
      </c>
      <c r="F33" s="26"/>
      <c r="G33" s="18" t="s">
        <v>230</v>
      </c>
    </row>
    <row r="34" spans="1:7" ht="32" x14ac:dyDescent="0.2">
      <c r="A34" s="24" t="s">
        <v>137</v>
      </c>
      <c r="B34" s="32" t="s">
        <v>221</v>
      </c>
      <c r="C34" s="28" t="s">
        <v>234</v>
      </c>
      <c r="D34" s="27"/>
      <c r="E34" s="28" t="s">
        <v>233</v>
      </c>
      <c r="F34" s="27"/>
      <c r="G34" s="28" t="s">
        <v>235</v>
      </c>
    </row>
    <row r="35" spans="1:7" ht="48" x14ac:dyDescent="0.2">
      <c r="A35" s="24" t="s">
        <v>236</v>
      </c>
      <c r="B35" s="31" t="s">
        <v>237</v>
      </c>
      <c r="C35" s="18" t="s">
        <v>232</v>
      </c>
      <c r="D35" s="18"/>
      <c r="E35" s="18"/>
      <c r="F35" s="26"/>
      <c r="G35" s="18" t="s">
        <v>238</v>
      </c>
    </row>
    <row r="36" spans="1:7" ht="48" x14ac:dyDescent="0.2">
      <c r="A36" s="24" t="s">
        <v>135</v>
      </c>
      <c r="B36" s="31" t="s">
        <v>222</v>
      </c>
      <c r="C36" s="18" t="s">
        <v>204</v>
      </c>
      <c r="D36" s="18"/>
      <c r="E36" s="18" t="s">
        <v>229</v>
      </c>
      <c r="F36" s="26"/>
      <c r="G36" s="18" t="s">
        <v>231</v>
      </c>
    </row>
  </sheetData>
  <mergeCells count="4">
    <mergeCell ref="C4:G4"/>
    <mergeCell ref="C15:G15"/>
    <mergeCell ref="C21:G21"/>
    <mergeCell ref="C31:G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G40"/>
  <sheetViews>
    <sheetView topLeftCell="A13" zoomScale="79" workbookViewId="0">
      <selection activeCell="D14" sqref="D14"/>
    </sheetView>
  </sheetViews>
  <sheetFormatPr baseColWidth="10" defaultColWidth="8.6640625" defaultRowHeight="15" x14ac:dyDescent="0.2"/>
  <cols>
    <col min="1" max="1" width="77.33203125" bestFit="1" customWidth="1"/>
    <col min="2" max="2" width="35.6640625" customWidth="1"/>
    <col min="3" max="5" width="25.6640625" customWidth="1"/>
    <col min="6" max="6" width="20" customWidth="1"/>
    <col min="7" max="7" width="25.6640625" customWidth="1"/>
  </cols>
  <sheetData>
    <row r="1" spans="1:7" x14ac:dyDescent="0.2">
      <c r="A1" s="44" t="s">
        <v>3</v>
      </c>
      <c r="B1" s="26" t="s">
        <v>24</v>
      </c>
      <c r="C1" s="20"/>
      <c r="D1" s="20"/>
      <c r="E1" s="20"/>
      <c r="F1" s="20"/>
      <c r="G1" s="20"/>
    </row>
    <row r="2" spans="1:7" x14ac:dyDescent="0.2">
      <c r="A2" s="44" t="s">
        <v>6</v>
      </c>
      <c r="B2" s="26" t="s">
        <v>85</v>
      </c>
      <c r="C2" s="20"/>
      <c r="D2" s="20"/>
      <c r="E2" s="20"/>
      <c r="F2" s="20"/>
      <c r="G2" s="20"/>
    </row>
    <row r="3" spans="1:7" x14ac:dyDescent="0.2">
      <c r="A3" s="20"/>
      <c r="B3" s="20"/>
      <c r="C3" s="20"/>
      <c r="D3" s="20"/>
      <c r="E3" s="20"/>
      <c r="F3" s="20"/>
      <c r="G3" s="20"/>
    </row>
    <row r="4" spans="1:7" ht="15" customHeight="1" x14ac:dyDescent="0.2">
      <c r="A4" s="20"/>
      <c r="B4" s="20"/>
      <c r="C4" s="149" t="s">
        <v>59</v>
      </c>
      <c r="D4" s="149"/>
      <c r="E4" s="149"/>
      <c r="F4" s="149"/>
      <c r="G4" s="149"/>
    </row>
    <row r="5" spans="1:7" ht="15" customHeight="1" x14ac:dyDescent="0.2">
      <c r="A5" s="44" t="s">
        <v>8</v>
      </c>
      <c r="B5" s="44" t="s">
        <v>60</v>
      </c>
      <c r="C5" s="44">
        <v>0</v>
      </c>
      <c r="D5" s="44">
        <v>25</v>
      </c>
      <c r="E5" s="44">
        <v>50</v>
      </c>
      <c r="F5" s="44">
        <v>75</v>
      </c>
      <c r="G5" s="44">
        <v>100</v>
      </c>
    </row>
    <row r="6" spans="1:7" ht="50.25" customHeight="1" x14ac:dyDescent="0.2">
      <c r="A6" s="46" t="s">
        <v>86</v>
      </c>
      <c r="B6" s="30" t="s">
        <v>166</v>
      </c>
      <c r="C6" s="16" t="s">
        <v>61</v>
      </c>
      <c r="D6" s="16"/>
      <c r="E6" s="16"/>
      <c r="F6" s="16"/>
      <c r="G6" s="16" t="s">
        <v>151</v>
      </c>
    </row>
    <row r="7" spans="1:7" ht="50.25" customHeight="1" x14ac:dyDescent="0.2">
      <c r="A7" s="47" t="s">
        <v>87</v>
      </c>
      <c r="B7" s="31" t="s">
        <v>62</v>
      </c>
      <c r="C7" s="18" t="s">
        <v>63</v>
      </c>
      <c r="D7" s="18"/>
      <c r="E7" s="18"/>
      <c r="F7" s="18"/>
      <c r="G7" s="18" t="s">
        <v>152</v>
      </c>
    </row>
    <row r="8" spans="1:7" ht="50.25" customHeight="1" x14ac:dyDescent="0.2">
      <c r="A8" s="48" t="s">
        <v>88</v>
      </c>
      <c r="B8" s="32" t="s">
        <v>64</v>
      </c>
      <c r="C8" s="28" t="s">
        <v>65</v>
      </c>
      <c r="D8" s="28"/>
      <c r="E8" s="28"/>
      <c r="F8" s="28"/>
      <c r="G8" s="28" t="s">
        <v>153</v>
      </c>
    </row>
    <row r="9" spans="1:7" ht="50.25" customHeight="1" x14ac:dyDescent="0.2">
      <c r="A9" s="49" t="s">
        <v>89</v>
      </c>
      <c r="B9" s="43" t="s">
        <v>66</v>
      </c>
      <c r="C9" s="29" t="s">
        <v>67</v>
      </c>
      <c r="D9" s="29"/>
      <c r="E9" s="29"/>
      <c r="F9" s="29"/>
      <c r="G9" s="29" t="s">
        <v>154</v>
      </c>
    </row>
    <row r="10" spans="1:7" ht="50.25" customHeight="1" x14ac:dyDescent="0.2">
      <c r="A10" s="49" t="s">
        <v>90</v>
      </c>
      <c r="B10" s="43" t="s">
        <v>126</v>
      </c>
      <c r="C10" s="29" t="s">
        <v>127</v>
      </c>
      <c r="D10" s="29"/>
      <c r="E10" s="29"/>
      <c r="F10" s="29"/>
      <c r="G10" s="29" t="s">
        <v>156</v>
      </c>
    </row>
    <row r="11" spans="1:7" ht="50.25" customHeight="1" x14ac:dyDescent="0.2">
      <c r="A11" s="49" t="s">
        <v>91</v>
      </c>
      <c r="B11" s="43" t="s">
        <v>68</v>
      </c>
      <c r="C11" s="29" t="s">
        <v>69</v>
      </c>
      <c r="D11" s="29"/>
      <c r="E11" s="29"/>
      <c r="F11" s="29"/>
      <c r="G11" s="29" t="s">
        <v>155</v>
      </c>
    </row>
    <row r="12" spans="1:7" ht="113.5" customHeight="1" x14ac:dyDescent="0.2">
      <c r="A12" s="87" t="s">
        <v>242</v>
      </c>
      <c r="B12" s="43" t="s">
        <v>252</v>
      </c>
      <c r="C12" s="29" t="s">
        <v>254</v>
      </c>
      <c r="D12" s="29"/>
      <c r="E12" s="29"/>
      <c r="F12" s="29"/>
      <c r="G12" s="29" t="s">
        <v>255</v>
      </c>
    </row>
    <row r="13" spans="1:7" ht="78" customHeight="1" x14ac:dyDescent="0.2">
      <c r="A13" s="77" t="s">
        <v>243</v>
      </c>
      <c r="B13" s="43" t="s">
        <v>253</v>
      </c>
      <c r="C13" s="29" t="s">
        <v>257</v>
      </c>
      <c r="D13" s="29"/>
      <c r="E13" s="29"/>
      <c r="F13" s="29"/>
      <c r="G13" s="29" t="s">
        <v>256</v>
      </c>
    </row>
    <row r="14" spans="1:7" x14ac:dyDescent="0.2">
      <c r="C14" s="17"/>
      <c r="D14" s="17"/>
      <c r="E14" s="17"/>
      <c r="F14" s="17"/>
      <c r="G14" s="17"/>
    </row>
    <row r="15" spans="1:7" x14ac:dyDescent="0.2">
      <c r="A15" s="44" t="s">
        <v>6</v>
      </c>
      <c r="B15" s="26" t="s">
        <v>76</v>
      </c>
      <c r="C15" s="17"/>
      <c r="D15" s="17"/>
      <c r="E15" s="17"/>
      <c r="F15" s="17"/>
      <c r="G15" s="17"/>
    </row>
    <row r="16" spans="1:7" x14ac:dyDescent="0.2">
      <c r="A16" s="20"/>
      <c r="B16" s="20"/>
      <c r="C16" s="17"/>
      <c r="D16" s="17"/>
      <c r="E16" s="17"/>
      <c r="F16" s="17"/>
      <c r="G16" s="17"/>
    </row>
    <row r="17" spans="1:7" x14ac:dyDescent="0.2">
      <c r="A17" s="20"/>
      <c r="B17" s="20"/>
      <c r="C17" s="150" t="s">
        <v>59</v>
      </c>
      <c r="D17" s="150"/>
      <c r="E17" s="150"/>
      <c r="F17" s="150"/>
      <c r="G17" s="150"/>
    </row>
    <row r="18" spans="1:7" x14ac:dyDescent="0.2">
      <c r="A18" s="44" t="s">
        <v>8</v>
      </c>
      <c r="B18" s="44" t="s">
        <v>60</v>
      </c>
      <c r="C18" s="45">
        <v>0</v>
      </c>
      <c r="D18" s="45">
        <v>25</v>
      </c>
      <c r="E18" s="45">
        <v>50</v>
      </c>
      <c r="F18" s="45">
        <v>75</v>
      </c>
      <c r="G18" s="45">
        <v>100</v>
      </c>
    </row>
    <row r="19" spans="1:7" ht="50.25" customHeight="1" x14ac:dyDescent="0.2">
      <c r="A19" s="55" t="s">
        <v>77</v>
      </c>
      <c r="B19" s="41" t="s">
        <v>128</v>
      </c>
      <c r="C19" s="21" t="s">
        <v>131</v>
      </c>
      <c r="D19" s="21"/>
      <c r="E19" s="21"/>
      <c r="F19" s="21"/>
      <c r="G19" s="21" t="s">
        <v>146</v>
      </c>
    </row>
    <row r="20" spans="1:7" ht="81" customHeight="1" x14ac:dyDescent="0.2">
      <c r="A20" s="56" t="s">
        <v>78</v>
      </c>
      <c r="B20" s="57" t="s">
        <v>133</v>
      </c>
      <c r="C20" s="59" t="s">
        <v>133</v>
      </c>
      <c r="D20" s="59"/>
      <c r="E20" s="59"/>
      <c r="F20" s="58"/>
      <c r="G20" s="61" t="s">
        <v>147</v>
      </c>
    </row>
    <row r="21" spans="1:7" ht="81" customHeight="1" x14ac:dyDescent="0.2">
      <c r="A21" s="54" t="s">
        <v>80</v>
      </c>
      <c r="B21" s="53" t="s">
        <v>164</v>
      </c>
      <c r="C21" s="58" t="s">
        <v>139</v>
      </c>
      <c r="D21" s="58"/>
      <c r="E21" s="58"/>
      <c r="F21" s="62"/>
      <c r="G21" s="29" t="s">
        <v>148</v>
      </c>
    </row>
    <row r="22" spans="1:7" ht="50.25" customHeight="1" x14ac:dyDescent="0.2">
      <c r="A22" s="54" t="s">
        <v>79</v>
      </c>
      <c r="B22" s="43" t="s">
        <v>165</v>
      </c>
      <c r="C22" s="60" t="s">
        <v>150</v>
      </c>
      <c r="D22" s="60"/>
      <c r="E22" s="60"/>
      <c r="F22" s="60"/>
      <c r="G22" s="60" t="s">
        <v>149</v>
      </c>
    </row>
    <row r="23" spans="1:7" x14ac:dyDescent="0.2">
      <c r="A23" s="20"/>
      <c r="B23" s="20"/>
      <c r="C23" s="17"/>
      <c r="D23" s="17"/>
      <c r="E23" s="17"/>
      <c r="F23" s="17"/>
      <c r="G23" s="17"/>
    </row>
    <row r="24" spans="1:7" x14ac:dyDescent="0.2">
      <c r="A24" s="20"/>
      <c r="B24" s="20"/>
      <c r="C24" s="17"/>
      <c r="D24" s="17"/>
      <c r="E24" s="17"/>
      <c r="F24" s="17"/>
      <c r="G24" s="17"/>
    </row>
    <row r="25" spans="1:7" x14ac:dyDescent="0.2">
      <c r="C25" s="17"/>
      <c r="D25" s="17"/>
      <c r="E25" s="17"/>
      <c r="F25" s="17"/>
      <c r="G25" s="17"/>
    </row>
    <row r="26" spans="1:7" x14ac:dyDescent="0.2">
      <c r="A26" s="44" t="s">
        <v>6</v>
      </c>
      <c r="B26" s="26" t="s">
        <v>51</v>
      </c>
      <c r="C26" s="17"/>
      <c r="D26" s="17"/>
      <c r="E26" s="17"/>
      <c r="F26" s="17"/>
      <c r="G26" s="17"/>
    </row>
    <row r="27" spans="1:7" x14ac:dyDescent="0.2">
      <c r="A27" s="20"/>
      <c r="B27" s="20"/>
      <c r="C27" s="17"/>
      <c r="D27" s="17"/>
      <c r="E27" s="17"/>
      <c r="F27" s="17"/>
      <c r="G27" s="17"/>
    </row>
    <row r="28" spans="1:7" x14ac:dyDescent="0.2">
      <c r="A28" s="20"/>
      <c r="B28" s="20"/>
      <c r="C28" s="150" t="s">
        <v>59</v>
      </c>
      <c r="D28" s="150"/>
      <c r="E28" s="150"/>
      <c r="F28" s="150"/>
      <c r="G28" s="150"/>
    </row>
    <row r="29" spans="1:7" x14ac:dyDescent="0.2">
      <c r="A29" s="44" t="s">
        <v>8</v>
      </c>
      <c r="B29" s="44" t="s">
        <v>60</v>
      </c>
      <c r="C29" s="45">
        <v>0</v>
      </c>
      <c r="D29" s="45">
        <v>25</v>
      </c>
      <c r="E29" s="45">
        <v>50</v>
      </c>
      <c r="F29" s="45">
        <v>75</v>
      </c>
      <c r="G29" s="45">
        <v>100</v>
      </c>
    </row>
    <row r="30" spans="1:7" ht="57.75" customHeight="1" x14ac:dyDescent="0.2">
      <c r="A30" s="34" t="s">
        <v>92</v>
      </c>
      <c r="B30" s="41" t="s">
        <v>163</v>
      </c>
      <c r="C30" s="21" t="s">
        <v>158</v>
      </c>
      <c r="D30" s="21"/>
      <c r="E30" s="21"/>
      <c r="F30" s="21"/>
      <c r="G30" s="21" t="s">
        <v>160</v>
      </c>
    </row>
    <row r="31" spans="1:7" ht="50.25" customHeight="1" x14ac:dyDescent="0.2">
      <c r="A31" s="33" t="s">
        <v>93</v>
      </c>
      <c r="B31" s="43" t="s">
        <v>167</v>
      </c>
      <c r="C31" s="29" t="s">
        <v>159</v>
      </c>
      <c r="D31" s="29"/>
      <c r="E31" s="29"/>
      <c r="F31" s="29"/>
      <c r="G31" s="29" t="s">
        <v>161</v>
      </c>
    </row>
    <row r="32" spans="1:7" ht="57" customHeight="1" x14ac:dyDescent="0.2">
      <c r="A32" s="88" t="s">
        <v>245</v>
      </c>
      <c r="B32" s="43" t="s">
        <v>250</v>
      </c>
      <c r="C32" s="29" t="s">
        <v>249</v>
      </c>
      <c r="D32" s="29"/>
      <c r="E32" s="29"/>
      <c r="F32" s="58"/>
      <c r="G32" s="29" t="s">
        <v>246</v>
      </c>
    </row>
    <row r="33" spans="1:7" ht="58.25" customHeight="1" x14ac:dyDescent="0.2">
      <c r="A33" s="75" t="s">
        <v>244</v>
      </c>
      <c r="B33" s="43" t="s">
        <v>251</v>
      </c>
      <c r="C33" s="29" t="s">
        <v>248</v>
      </c>
      <c r="D33" s="29"/>
      <c r="E33" s="29"/>
      <c r="F33" s="29"/>
      <c r="G33" s="29" t="s">
        <v>247</v>
      </c>
    </row>
    <row r="40" spans="1:7" x14ac:dyDescent="0.2">
      <c r="D40" s="89"/>
    </row>
  </sheetData>
  <mergeCells count="3">
    <mergeCell ref="C4:G4"/>
    <mergeCell ref="C17:G17"/>
    <mergeCell ref="C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26"/>
  <sheetViews>
    <sheetView topLeftCell="A6" workbookViewId="0">
      <selection activeCell="B10" sqref="B10"/>
    </sheetView>
  </sheetViews>
  <sheetFormatPr baseColWidth="10" defaultColWidth="8.6640625" defaultRowHeight="15" x14ac:dyDescent="0.2"/>
  <cols>
    <col min="1" max="2" width="35.6640625" customWidth="1"/>
    <col min="3" max="7" width="25.6640625" customWidth="1"/>
    <col min="12" max="12" width="10.6640625" customWidth="1"/>
    <col min="14" max="14" width="65.1640625" customWidth="1"/>
  </cols>
  <sheetData>
    <row r="1" spans="1:12" x14ac:dyDescent="0.2">
      <c r="A1" s="15" t="s">
        <v>3</v>
      </c>
      <c r="B1" s="13" t="s">
        <v>37</v>
      </c>
    </row>
    <row r="2" spans="1:12" x14ac:dyDescent="0.2">
      <c r="A2" s="15" t="s">
        <v>6</v>
      </c>
      <c r="B2" s="13" t="s">
        <v>105</v>
      </c>
    </row>
    <row r="4" spans="1:12" x14ac:dyDescent="0.2">
      <c r="C4" s="147" t="s">
        <v>59</v>
      </c>
      <c r="D4" s="147"/>
      <c r="E4" s="147"/>
      <c r="F4" s="147"/>
      <c r="G4" s="147"/>
      <c r="I4" s="42"/>
      <c r="K4" s="42"/>
      <c r="L4" s="42"/>
    </row>
    <row r="5" spans="1:12" x14ac:dyDescent="0.2">
      <c r="A5" s="50" t="s">
        <v>8</v>
      </c>
      <c r="B5" s="50" t="s">
        <v>60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  <c r="I5" s="42"/>
      <c r="K5" s="42"/>
      <c r="L5" s="42"/>
    </row>
    <row r="6" spans="1:12" ht="105" customHeight="1" x14ac:dyDescent="0.2">
      <c r="A6" s="69" t="s">
        <v>106</v>
      </c>
      <c r="B6" s="67" t="s">
        <v>173</v>
      </c>
      <c r="C6" s="65" t="s">
        <v>176</v>
      </c>
      <c r="D6" s="21"/>
      <c r="E6" s="21" t="s">
        <v>203</v>
      </c>
      <c r="F6" s="21"/>
      <c r="G6" s="21" t="s">
        <v>178</v>
      </c>
      <c r="I6" s="42"/>
      <c r="K6" s="42"/>
      <c r="L6" s="42"/>
    </row>
    <row r="7" spans="1:12" ht="105" customHeight="1" x14ac:dyDescent="0.2">
      <c r="A7" s="64" t="s">
        <v>107</v>
      </c>
      <c r="B7" s="68" t="s">
        <v>181</v>
      </c>
      <c r="C7" s="66" t="s">
        <v>183</v>
      </c>
      <c r="D7" s="70"/>
      <c r="E7" s="58" t="s">
        <v>186</v>
      </c>
      <c r="F7" s="58"/>
      <c r="G7" s="29" t="s">
        <v>212</v>
      </c>
      <c r="I7" s="42"/>
      <c r="K7" s="42"/>
      <c r="L7" s="42"/>
    </row>
    <row r="8" spans="1:12" ht="105" customHeight="1" x14ac:dyDescent="0.2">
      <c r="A8" s="35" t="s">
        <v>108</v>
      </c>
      <c r="B8" s="41" t="s">
        <v>189</v>
      </c>
      <c r="C8" s="18" t="s">
        <v>70</v>
      </c>
      <c r="D8" s="21"/>
      <c r="E8" s="18" t="s">
        <v>71</v>
      </c>
      <c r="F8" s="21"/>
      <c r="G8" s="18" t="s">
        <v>72</v>
      </c>
      <c r="I8" s="42"/>
      <c r="K8" s="42"/>
      <c r="L8" s="42"/>
    </row>
    <row r="9" spans="1:12" ht="85.5" customHeight="1" x14ac:dyDescent="0.2">
      <c r="A9" s="36" t="s">
        <v>109</v>
      </c>
      <c r="B9" s="31" t="s">
        <v>194</v>
      </c>
      <c r="C9" s="18" t="s">
        <v>195</v>
      </c>
      <c r="D9" s="18"/>
      <c r="E9" s="18" t="s">
        <v>196</v>
      </c>
      <c r="F9" s="18"/>
      <c r="G9" s="18" t="s">
        <v>197</v>
      </c>
      <c r="I9" s="42"/>
      <c r="K9" s="42"/>
      <c r="L9" s="42"/>
    </row>
    <row r="10" spans="1:12" x14ac:dyDescent="0.2">
      <c r="A10" s="17"/>
      <c r="I10" s="42"/>
      <c r="K10" s="42"/>
      <c r="L10" s="42"/>
    </row>
    <row r="11" spans="1:12" x14ac:dyDescent="0.2">
      <c r="I11" s="42"/>
      <c r="K11" s="42"/>
      <c r="L11" s="42"/>
    </row>
    <row r="12" spans="1:12" x14ac:dyDescent="0.2">
      <c r="A12" s="15" t="s">
        <v>6</v>
      </c>
      <c r="B12" s="13" t="s">
        <v>110</v>
      </c>
    </row>
    <row r="14" spans="1:12" x14ac:dyDescent="0.2">
      <c r="C14" s="147" t="s">
        <v>59</v>
      </c>
      <c r="D14" s="147"/>
      <c r="E14" s="147"/>
      <c r="F14" s="147"/>
      <c r="G14" s="147"/>
    </row>
    <row r="15" spans="1:12" x14ac:dyDescent="0.2">
      <c r="A15" s="14" t="s">
        <v>8</v>
      </c>
      <c r="B15" s="14" t="s">
        <v>60</v>
      </c>
      <c r="C15" s="14">
        <v>0</v>
      </c>
      <c r="D15" s="14">
        <v>25</v>
      </c>
      <c r="E15" s="14">
        <v>50</v>
      </c>
      <c r="F15" s="14">
        <v>75</v>
      </c>
      <c r="G15" s="14">
        <v>100</v>
      </c>
    </row>
    <row r="16" spans="1:12" ht="66" customHeight="1" x14ac:dyDescent="0.2">
      <c r="A16" s="37" t="s">
        <v>115</v>
      </c>
      <c r="B16" s="30" t="s">
        <v>216</v>
      </c>
      <c r="C16" s="16" t="s">
        <v>218</v>
      </c>
      <c r="D16" s="16"/>
      <c r="E16" s="16" t="s">
        <v>223</v>
      </c>
      <c r="F16" s="16"/>
      <c r="G16" s="16" t="s">
        <v>220</v>
      </c>
    </row>
    <row r="17" spans="1:7" ht="95.25" customHeight="1" x14ac:dyDescent="0.2">
      <c r="A17" s="38" t="s">
        <v>140</v>
      </c>
      <c r="B17" s="31" t="s">
        <v>217</v>
      </c>
      <c r="C17" s="18" t="s">
        <v>224</v>
      </c>
      <c r="D17" s="18"/>
      <c r="E17" s="18" t="s">
        <v>226</v>
      </c>
      <c r="F17" s="18"/>
      <c r="G17" s="18" t="s">
        <v>225</v>
      </c>
    </row>
    <row r="20" spans="1:7" x14ac:dyDescent="0.2">
      <c r="A20" s="15" t="s">
        <v>6</v>
      </c>
      <c r="B20" s="13" t="s">
        <v>111</v>
      </c>
    </row>
    <row r="22" spans="1:7" x14ac:dyDescent="0.2">
      <c r="C22" s="147" t="s">
        <v>59</v>
      </c>
      <c r="D22" s="147"/>
      <c r="E22" s="147"/>
      <c r="F22" s="147"/>
      <c r="G22" s="147"/>
    </row>
    <row r="23" spans="1:7" x14ac:dyDescent="0.2">
      <c r="A23" s="14" t="s">
        <v>8</v>
      </c>
      <c r="B23" s="14" t="s">
        <v>60</v>
      </c>
      <c r="C23" s="14">
        <v>0</v>
      </c>
      <c r="D23" s="14">
        <v>25</v>
      </c>
      <c r="E23" s="14">
        <v>50</v>
      </c>
      <c r="F23" s="14">
        <v>75</v>
      </c>
      <c r="G23" s="14">
        <v>100</v>
      </c>
    </row>
    <row r="24" spans="1:7" ht="78" customHeight="1" x14ac:dyDescent="0.2">
      <c r="A24" s="39" t="s">
        <v>113</v>
      </c>
      <c r="B24" s="30" t="s">
        <v>174</v>
      </c>
      <c r="C24" s="16" t="s">
        <v>175</v>
      </c>
      <c r="D24" s="16"/>
      <c r="E24" s="16" t="s">
        <v>177</v>
      </c>
      <c r="F24" s="16"/>
      <c r="G24" s="16" t="s">
        <v>179</v>
      </c>
    </row>
    <row r="25" spans="1:7" ht="78" customHeight="1" x14ac:dyDescent="0.2">
      <c r="A25" s="39" t="s">
        <v>142</v>
      </c>
      <c r="B25" s="30" t="s">
        <v>200</v>
      </c>
      <c r="C25" s="16" t="s">
        <v>187</v>
      </c>
      <c r="D25" s="16"/>
      <c r="E25" s="16" t="s">
        <v>190</v>
      </c>
      <c r="F25" s="16"/>
      <c r="G25" s="16" t="s">
        <v>205</v>
      </c>
    </row>
    <row r="26" spans="1:7" ht="93" customHeight="1" x14ac:dyDescent="0.2">
      <c r="A26" s="40" t="s">
        <v>114</v>
      </c>
      <c r="B26" s="31" t="s">
        <v>207</v>
      </c>
      <c r="C26" s="18" t="s">
        <v>209</v>
      </c>
      <c r="D26" s="18"/>
      <c r="E26" s="18" t="s">
        <v>215</v>
      </c>
      <c r="F26" s="18"/>
      <c r="G26" s="18" t="s">
        <v>214</v>
      </c>
    </row>
  </sheetData>
  <mergeCells count="3">
    <mergeCell ref="C14:G14"/>
    <mergeCell ref="C22:G22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baseColWidth="10" defaultColWidth="8.6640625" defaultRowHeight="15" x14ac:dyDescent="0.2"/>
  <sheetData>
    <row r="1" spans="1:1" x14ac:dyDescent="0.2">
      <c r="A1" s="1" t="s">
        <v>73</v>
      </c>
    </row>
    <row r="2" spans="1:1" x14ac:dyDescent="0.2">
      <c r="A2" s="1" t="s">
        <v>74</v>
      </c>
    </row>
    <row r="3" spans="1:1" x14ac:dyDescent="0.2">
      <c r="A3" s="1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3c5dfb-1cc0-4432-86cb-2a9d0e8e17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EFE7FC9D8B84EBE55524C48F58D03" ma:contentTypeVersion="13" ma:contentTypeDescription="Create a new document." ma:contentTypeScope="" ma:versionID="f45457a8fec25903f24ec3462ba5b3cb">
  <xsd:schema xmlns:xsd="http://www.w3.org/2001/XMLSchema" xmlns:xs="http://www.w3.org/2001/XMLSchema" xmlns:p="http://schemas.microsoft.com/office/2006/metadata/properties" xmlns:ns3="6d3c5dfb-1cc0-4432-86cb-2a9d0e8e17b0" xmlns:ns4="c83fef03-7e53-47dc-8a06-28f89aa017e1" targetNamespace="http://schemas.microsoft.com/office/2006/metadata/properties" ma:root="true" ma:fieldsID="0df3da505a92ff8a044c9d35a0219df9" ns3:_="" ns4:_="">
    <xsd:import namespace="6d3c5dfb-1cc0-4432-86cb-2a9d0e8e17b0"/>
    <xsd:import namespace="c83fef03-7e53-47dc-8a06-28f89aa01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c5dfb-1cc0-4432-86cb-2a9d0e8e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fef03-7e53-47dc-8a06-28f89aa017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F117B-627C-405D-B175-B7E1A25B6565}">
  <ds:schemaRefs>
    <ds:schemaRef ds:uri="http://purl.org/dc/dcmitype/"/>
    <ds:schemaRef ds:uri="http://schemas.microsoft.com/office/2006/documentManagement/types"/>
    <ds:schemaRef ds:uri="6d3c5dfb-1cc0-4432-86cb-2a9d0e8e17b0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83fef03-7e53-47dc-8a06-28f89aa017e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A6E2CE-2F3A-45C8-A569-1CAECA312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c5dfb-1cc0-4432-86cb-2a9d0e8e17b0"/>
    <ds:schemaRef ds:uri="c83fef03-7e53-47dc-8a06-28f89aa01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QEF (antigo)</vt:lpstr>
      <vt:lpstr>Functionality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Paula Escudeiro</cp:lastModifiedBy>
  <cp:revision/>
  <dcterms:created xsi:type="dcterms:W3CDTF">2006-09-16T00:00:00Z</dcterms:created>
  <dcterms:modified xsi:type="dcterms:W3CDTF">2024-12-02T14:55:37Z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0x0101005CAEFE7FC9D8B84EBE55524C48F58D03</vt:lpwstr>
  </property>
  <property fmtid="{D5CDD505-2E9C-101B-9397-08002B2CF9AE}" pid="3" name="MediaServiceImageTags">
    <vt:lpwstr/>
  </property>
</Properties>
</file>