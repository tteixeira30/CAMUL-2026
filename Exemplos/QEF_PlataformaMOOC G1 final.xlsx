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João Oliveira\Desktop\"/>
    </mc:Choice>
  </mc:AlternateContent>
  <xr:revisionPtr revIDLastSave="0" documentId="13_ncr:1_{29EC8671-2156-4ECC-94B8-2F6F020978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EF" sheetId="5" r:id="rId1"/>
    <sheet name="Functionality" sheetId="6" r:id="rId2"/>
    <sheet name="Accessibility" sheetId="9" r:id="rId3"/>
    <sheet name="Aesthetic" sheetId="7" r:id="rId4"/>
    <sheet name="Usability" sheetId="8" r:id="rId5"/>
    <sheet name="_56F9DC9755BA473782653E2940F9" sheetId="2" state="veryHidden" r:id="rId6"/>
  </sheets>
  <definedNames>
    <definedName name="_56F9DC9755BA473782653E2940F9FormId">"KaZgeh_mDEOcYyZmU7K4mS4HfvV4hEVGifdPy62G16hUQkdKUzI0RjhGMTE5TU0yNzlaVlBQVTBGNSQlQCN0PWcu"</definedName>
    <definedName name="_56F9DC9755BA473782653E2940F9ResponseSheet">"Form1"</definedName>
    <definedName name="_56F9DC9755BA473782653E2940F9SourceDocId">"{ee18d7d6-562b-465e-8a22-de789b1fce2f}"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B2" i="5"/>
  <c r="C2" i="5"/>
  <c r="C35" i="5"/>
  <c r="C23" i="5"/>
  <c r="C11" i="5"/>
  <c r="F40" i="5"/>
  <c r="E40" i="5"/>
  <c r="E35" i="5"/>
  <c r="F35" i="5"/>
  <c r="E11" i="5"/>
  <c r="E8" i="5"/>
  <c r="E7" i="5"/>
  <c r="E2" i="5"/>
  <c r="F8" i="5"/>
  <c r="F7" i="5"/>
  <c r="F2" i="5"/>
  <c r="F32" i="5"/>
  <c r="E32" i="5"/>
  <c r="E23" i="5"/>
  <c r="F23" i="5"/>
  <c r="E17" i="5"/>
  <c r="F17" i="5"/>
  <c r="F11" i="5"/>
</calcChain>
</file>

<file path=xl/sharedStrings.xml><?xml version="1.0" encoding="utf-8"?>
<sst xmlns="http://schemas.openxmlformats.org/spreadsheetml/2006/main" count="306" uniqueCount="222">
  <si>
    <t>q</t>
  </si>
  <si>
    <t>D</t>
  </si>
  <si>
    <t>Qi</t>
  </si>
  <si>
    <t>Dimension</t>
  </si>
  <si>
    <t>Qj</t>
  </si>
  <si>
    <t>Wij (Factor Weight j in Dim i) [0,1]</t>
  </si>
  <si>
    <t>Factor</t>
  </si>
  <si>
    <t>rwjk (requirement weight k in Factor j) {2, 4, 6, 8, 10}</t>
  </si>
  <si>
    <t>Requirement</t>
  </si>
  <si>
    <t>wfk % requirement fulfillment k) {0, 25, 50, 75, 100}</t>
  </si>
  <si>
    <t>Functionality</t>
  </si>
  <si>
    <t>Services/Facilities</t>
  </si>
  <si>
    <t>User Guidance or Support</t>
  </si>
  <si>
    <t>FUGS01 - Tutorial available in how to use the App</t>
  </si>
  <si>
    <t>Customizability</t>
  </si>
  <si>
    <t>Aesthetic</t>
  </si>
  <si>
    <t>Readability</t>
  </si>
  <si>
    <t>Visual Appeal</t>
  </si>
  <si>
    <t>Organization Hierarchy</t>
  </si>
  <si>
    <t>Usability</t>
  </si>
  <si>
    <t>Wfk - Fullfilment (%)</t>
  </si>
  <si>
    <t>Metric Evaluation</t>
  </si>
  <si>
    <t>The font chosen for the website is legible to the user</t>
  </si>
  <si>
    <t>The font chosen is unreadable</t>
  </si>
  <si>
    <t xml:space="preserve">The font chosen is readable but not very clear </t>
  </si>
  <si>
    <t>The font chosen is clear and easy to read</t>
  </si>
  <si>
    <t>The use of serif and non-serif fonts should be in line with the website (e.g. using non-serif fonts in a modern website)</t>
  </si>
  <si>
    <t>The use of serif and non-serif fonts does not match the website's style</t>
  </si>
  <si>
    <t>The use of serif and non-serif fonts is misused in some areas of the website</t>
  </si>
  <si>
    <t>The use of serif and non-serif fonts is according to the website style</t>
  </si>
  <si>
    <t>There is a clear misuse of the line spacing through all of the website</t>
  </si>
  <si>
    <t>The use of line spacing is correct only in some parts of the website</t>
  </si>
  <si>
    <t>Line spacing is used correctly through all of the website and increases readability</t>
  </si>
  <si>
    <t>Some lines of the website are either too long or too short</t>
  </si>
  <si>
    <t>All lines of the website have the proper length</t>
  </si>
  <si>
    <t>Bullet points and lists should be used everywhere they increase readability (e.g. when enumerating something)</t>
  </si>
  <si>
    <t>Color scheme is used effectively to help the design of the page</t>
  </si>
  <si>
    <t>Use of the Rule of Thirds is consistent and effective</t>
  </si>
  <si>
    <t>There's no use of the rule of the thirds seen</t>
  </si>
  <si>
    <t>Organization</t>
  </si>
  <si>
    <t>How effectively the website distinguishes between primary content and additional information for user clarity</t>
  </si>
  <si>
    <t>There is no clear distinction between main content and supplementary information.</t>
  </si>
  <si>
    <t>The distinction is reasonable but can be improved.</t>
  </si>
  <si>
    <t>The distinction is clear and effective.</t>
  </si>
  <si>
    <t>The degree to which important content is intuitively positioned for easy user access</t>
  </si>
  <si>
    <t>Important content is poorly positioned and difficult to find.</t>
  </si>
  <si>
    <t>Important content is reasonably intuitive but can be more refined.</t>
  </si>
  <si>
    <t>Important content is highly intuitively positioned.</t>
  </si>
  <si>
    <t>KaZgeh_mDEOcYyZmU7K4mS4HfvV4hEVGifdPy62G16hUQkdKUzI0RjhGMTE5TU0yNzlaVlBQVTBGNSQlQCN0PWcu</t>
  </si>
  <si>
    <t>Form1</t>
  </si>
  <si>
    <t>{ee18d7d6-562b-465e-8a22-de789b1fce2f}</t>
  </si>
  <si>
    <t>FSF01 - Users can access all Chapters</t>
  </si>
  <si>
    <t>FSF02 - Users can access all Lessons</t>
  </si>
  <si>
    <t>FSF04 - Users can view general Statistics on Quizzes</t>
  </si>
  <si>
    <t xml:space="preserve">FSF03 - Users can answer all Quizzes </t>
  </si>
  <si>
    <t>FSF05 - Users can compare a quiz they have just completed to that same Quiz's general statistics</t>
  </si>
  <si>
    <t>FC01 - Users can create an account</t>
  </si>
  <si>
    <t>FC03 - Users can consent (or not) to having their data used in quizzes</t>
  </si>
  <si>
    <t>FC02 - Users can Login to existing account</t>
  </si>
  <si>
    <t>AR01 - Legible font choice</t>
  </si>
  <si>
    <t>AR02 - Appropriate font size for body text</t>
  </si>
  <si>
    <t>AR03 - Use of serif and non-serif fonts according to the website style</t>
  </si>
  <si>
    <t>AR04 - Adequate line spacing for easy reading</t>
  </si>
  <si>
    <t>AR05 - Adequate line length for easy reading</t>
  </si>
  <si>
    <t>AR06 - Use of bullet points and lists for readability</t>
  </si>
  <si>
    <t>AVA01 - Consistency in color palette</t>
  </si>
  <si>
    <t>AVA02 - Consistency in design elements</t>
  </si>
  <si>
    <t>AVA03 - Use of positive space for content</t>
  </si>
  <si>
    <t>AVA04 - Use of negative space for content</t>
  </si>
  <si>
    <t>AVA07 - Use of high quality images, videos and graphics</t>
  </si>
  <si>
    <t>AVA08 - Use of the Rule of Thirds</t>
  </si>
  <si>
    <t>AVA09 - Use of color contrast</t>
  </si>
  <si>
    <t>AOH01 - Clear distinction between main content and supplementary information</t>
  </si>
  <si>
    <t>AOH02 - Intuitive placement of important content</t>
  </si>
  <si>
    <t>AOH03 - Usage of visual hierarchy to guide the user through the content</t>
  </si>
  <si>
    <t>Engaging</t>
  </si>
  <si>
    <t>UE01 - Users are able to change their password</t>
  </si>
  <si>
    <t>UE02 - Users need an active internet connection to access</t>
  </si>
  <si>
    <t>Easy to learn</t>
  </si>
  <si>
    <t>UETL01 - Users can leave reviews about the Lessons</t>
  </si>
  <si>
    <t>UETL02 - FAQ page</t>
  </si>
  <si>
    <t>UE03 - Website is available in English</t>
  </si>
  <si>
    <t>The Users can choose to view any Chapter at any time in any order</t>
  </si>
  <si>
    <t>The Users can choose to view any Lesson at any time in any order</t>
  </si>
  <si>
    <t xml:space="preserve">The Users can choose to answer any Quiz at any time and in any order </t>
  </si>
  <si>
    <t>After answering a Quiz, Users can compare their results to other Users' results</t>
  </si>
  <si>
    <t>FUGS01 - Tutorial available in how to use the Website</t>
  </si>
  <si>
    <t>The Users are able to access a video tutorial in how to navigate and use the Website</t>
  </si>
  <si>
    <t>Users can create an account on the Website at any time through an username/email</t>
  </si>
  <si>
    <t>Users can login into an existing account at any time</t>
  </si>
  <si>
    <t>At any time, Users can choose to consent or not to give away their quiz results for statistical purposes</t>
  </si>
  <si>
    <t>Users cant access any Chapter</t>
  </si>
  <si>
    <t xml:space="preserve">Users can only view Chapters in a specific order </t>
  </si>
  <si>
    <t>Users can view any Chapter at any time</t>
  </si>
  <si>
    <t>Users cant access any Lesson</t>
  </si>
  <si>
    <t xml:space="preserve">Users can only view Lessons in a specific order </t>
  </si>
  <si>
    <t>Users can view any Lesson at any time</t>
  </si>
  <si>
    <t>Users dont have access to quizzes</t>
  </si>
  <si>
    <t>Users can only answer quizzes in a specific order</t>
  </si>
  <si>
    <t>Users can answer any Quiz at any time</t>
  </si>
  <si>
    <t>Users do not have access to general statistics</t>
  </si>
  <si>
    <t>Users can view general statistics from the Quizzes, such as average User score</t>
  </si>
  <si>
    <t>Users have access to general statistics</t>
  </si>
  <si>
    <t>Users can´t compare their results to other users's results</t>
  </si>
  <si>
    <t>Users have access to a tutorial video on how to use the website</t>
  </si>
  <si>
    <t>Users do not have access to a tutorial video on how to use the website</t>
  </si>
  <si>
    <t>Users are not able to create na account</t>
  </si>
  <si>
    <t>Users are able to create an account with unique ID</t>
  </si>
  <si>
    <t>User are able to create an account without a unique ID</t>
  </si>
  <si>
    <t>Users are not able to login into an existing account</t>
  </si>
  <si>
    <t>Users are able to login into an existing account</t>
  </si>
  <si>
    <t>Users are able to choose whether or not they consent to the usage of their data from quizzes</t>
  </si>
  <si>
    <t>Users can not choose whether or not they consent to the usage of their data from quizzes</t>
  </si>
  <si>
    <t>Organization Hierachy</t>
  </si>
  <si>
    <t>Users can, at any time while logged in, change the password of the account their are logged into</t>
  </si>
  <si>
    <t>Users can not change the account's password</t>
  </si>
  <si>
    <t>Users can change the account's password</t>
  </si>
  <si>
    <t>The usage of the website depends on whether or not there is an internet connection</t>
  </si>
  <si>
    <t>The website is available in the English language</t>
  </si>
  <si>
    <t>English language is not available</t>
  </si>
  <si>
    <t>English language is available</t>
  </si>
  <si>
    <t>Cant access website in any form</t>
  </si>
  <si>
    <t>Can't access website through internet connection</t>
  </si>
  <si>
    <t>The website is available through internet connection</t>
  </si>
  <si>
    <t>Users must be able to give feedback about specific lessons and chapters</t>
  </si>
  <si>
    <t>Users cant give feedback</t>
  </si>
  <si>
    <t>Users can only give feedback for the Chapters</t>
  </si>
  <si>
    <t>Users can leave feedback related to Chapters and Lessons</t>
  </si>
  <si>
    <t>A FAQ page should be available to help the Users. This should be the page where the tutorial is available.</t>
  </si>
  <si>
    <t>There is no FAQ/tutorial page</t>
  </si>
  <si>
    <t>FAQ only presents the Users with the tutorial video</t>
  </si>
  <si>
    <t>FAQ page contains the tutorial video and other relevant information about the online course</t>
  </si>
  <si>
    <t>Design and creative elements are used correctly and are consistent throughout the website</t>
  </si>
  <si>
    <t>Design and creative elements are not used in the page context</t>
  </si>
  <si>
    <t>Design and creative elements are used incorrectly (do not make sense in the context of the content)</t>
  </si>
  <si>
    <t>The rule of the thirds is present in at least one page</t>
  </si>
  <si>
    <t>Bullet points or lists weren't used (this includes chapters)</t>
  </si>
  <si>
    <t>Bullet points or lists were used (this includes chapters/lessons)</t>
  </si>
  <si>
    <t>The color palette does not make sense in the page context</t>
  </si>
  <si>
    <t>The color palette is used effectively to help the design of the page</t>
  </si>
  <si>
    <t>Color palette is consistent with the content and feeling that the website is trying to convey</t>
  </si>
  <si>
    <t>Correct and Effective use of positive space</t>
  </si>
  <si>
    <t>No page uses positive space</t>
  </si>
  <si>
    <t>At least one page uses positive space</t>
  </si>
  <si>
    <t>Correct and Effective use of negative space</t>
  </si>
  <si>
    <t>No page uses negative space</t>
  </si>
  <si>
    <t>At least one page uses negative space</t>
  </si>
  <si>
    <t>Website doesn't make use of symmetry factor</t>
  </si>
  <si>
    <t>AVA05 - Use of symmetry in page content</t>
  </si>
  <si>
    <t>Display of symmetry to make a more attractive page</t>
  </si>
  <si>
    <t>AVA06 - Use of asymmetry in page content</t>
  </si>
  <si>
    <t>Website makes use of symmetry</t>
  </si>
  <si>
    <t>Display of asymmetry to make a more attractive page</t>
  </si>
  <si>
    <t>Website doesn't make use of asymmetry factor</t>
  </si>
  <si>
    <t>Website makes use of asymmetry</t>
  </si>
  <si>
    <t>Quality of Images and Graphics that are related with the website's theme</t>
  </si>
  <si>
    <t>Low quality images/graphics that relate to the website
OR
High quality images/graphics that do not relate to the website</t>
  </si>
  <si>
    <t xml:space="preserve">No images/graphics were used </t>
  </si>
  <si>
    <t>Usage of high quality images/graphics that emphasize the theme of the website</t>
  </si>
  <si>
    <t>Usage of complementary colors in order to give contrast to the content elements</t>
  </si>
  <si>
    <t>There is no use of complementary colors</t>
  </si>
  <si>
    <t>Complementary colors are used to give contrast to content elements</t>
  </si>
  <si>
    <t>The website utilizes the concept of visual hierarchy and visual wheight to give the Users eyes through the website's pages content</t>
  </si>
  <si>
    <t>These concepts are not used</t>
  </si>
  <si>
    <t>These concepts are used but are not able to effectively convey the hierarchy of the elements</t>
  </si>
  <si>
    <t>These concepts are used and effectively convey the hierarchy of the elements</t>
  </si>
  <si>
    <t>The font size chosen is the proper size allowing for readability (between 14 and 18 pts)</t>
  </si>
  <si>
    <t>The font size is smaller than 14 pts or bigger than 18 pts</t>
  </si>
  <si>
    <t>The font size is between 14 and 18 pts.</t>
  </si>
  <si>
    <t>Lines have a proper length, not being too short or too long, of about 50-75 characters.</t>
  </si>
  <si>
    <t>All the lines of the website are too long or too short.</t>
  </si>
  <si>
    <t>The use of line spacing is adequate to the website making it easy to read. The line spacing has to be at least 1.5 the font size.</t>
  </si>
  <si>
    <t>Accessibility</t>
  </si>
  <si>
    <t>AR03 - Use of serif and non-serif fonts according to the webpage style</t>
  </si>
  <si>
    <t>Operability</t>
  </si>
  <si>
    <t>AO01 - The different elements of the website take into account their visibility to a colorblind person</t>
  </si>
  <si>
    <t>AO02 - The text takes into account its readability to a colorblind person</t>
  </si>
  <si>
    <t>AO03 - A transcript is available for all lessons to accommodate users who are deaf or hard of hearing</t>
  </si>
  <si>
    <t>AO04 - The website is operable with only a keyboard</t>
  </si>
  <si>
    <t>AO06 - Provides a description/alternative text for the page images</t>
  </si>
  <si>
    <t>AO07 - Clickable elements like links and buttons are easily identifiable</t>
  </si>
  <si>
    <t>UE03 - Maximize compatibility with current and future user agents, including assistive technologies</t>
  </si>
  <si>
    <t>UE04 - Website is responsive and works well on various devices and screen sizes</t>
  </si>
  <si>
    <t>UE05 - Website is available in English</t>
  </si>
  <si>
    <t>UETL02 - The is a consistent layout and navigation structure throughout the site to help users understand and navigate content more easily.</t>
  </si>
  <si>
    <t>UETL03 - A Informational Page is available</t>
  </si>
  <si>
    <t>UETL01 - Users can leave overall reviews</t>
  </si>
  <si>
    <t>When accessing the different lessons of the different chapters, the user has available to them a transcript of the chosen lesson</t>
  </si>
  <si>
    <t>There are no available transcripts for any of the lessons</t>
  </si>
  <si>
    <t>Not every lesson has a transcript available</t>
  </si>
  <si>
    <t>There is a transcript for every lesson of every Chapter</t>
  </si>
  <si>
    <t>Users can operate and navigate the different elements and pages of the website with a keyboard only</t>
  </si>
  <si>
    <t>Users can not navigate with a keyboard only</t>
  </si>
  <si>
    <t>Not every page and/or element is navigational with keyboard only</t>
  </si>
  <si>
    <t>Every page and/or element is navigational with keyboard only</t>
  </si>
  <si>
    <t>AO05 - Provides a description/alternative text for the page images</t>
  </si>
  <si>
    <t>AO06 - Clickable elements like links and buttons are easily identifiable</t>
  </si>
  <si>
    <t>Some of the website's elements are not distinguishable from each other to a colorblind person</t>
  </si>
  <si>
    <t>Because the colors seem/are identical from a colorblind person's standpoint, they cannot distinguish the various elements from each other</t>
  </si>
  <si>
    <t>The color used on elements that are near each other (on either the foreground or background) takes into account their visibility to a colorblind person (different types of colorblindness should be taken into account)</t>
  </si>
  <si>
    <t>The color used on text elements that are near other elements such as graphics or images (on either the foreground or background) takes into account their visibility to a colorblind person (different types of colorblindness should be taken into account)</t>
  </si>
  <si>
    <t>Some of the website's test elements are not distinguishable from each other to a colorblind person</t>
  </si>
  <si>
    <t>Because the colors seem/are identical from a colorblind person's standpoint, they cannot distinguish the various text elements from other elements</t>
  </si>
  <si>
    <t>A colorblind person can easily distinguish the various elements found within the pages used in the website</t>
  </si>
  <si>
    <t>Images and other visual elements provide an alternative text and/or description in order to be identifiable and usable by other media, in this case by Windows Narrator and Speech Recognition</t>
  </si>
  <si>
    <t>Visual elements do not provide alternative text and/or description</t>
  </si>
  <si>
    <t>Only some visual elements do not provide alternative text and/or description</t>
  </si>
  <si>
    <t>All visual elements provide alternative text and/or description recognizable to Windows Narrator</t>
  </si>
  <si>
    <t>Clickable elements are not highlighted by either border or color</t>
  </si>
  <si>
    <t>Not all clickable elements are highlighted by border or color</t>
  </si>
  <si>
    <t>Buttons and other elements like hyperlinks should be highlighted either by a well-defined border or color even when not hoovered over</t>
  </si>
  <si>
    <t>All clickable elements are highlighted by border or color</t>
  </si>
  <si>
    <t>Users with different browser versions should be able to access the website and utilize their features</t>
  </si>
  <si>
    <t>The user's screen size should not compromise the website's structure, disposition and, accessibility. For this reason, the website should adjust to different screen sizes.</t>
  </si>
  <si>
    <t>The website is only accessible in a specific platform version</t>
  </si>
  <si>
    <t>The website is limited to working on only 3 different platform versions</t>
  </si>
  <si>
    <t>The website is limited to working on only 2 different platform versions</t>
  </si>
  <si>
    <t>The website is limited to working on up to 5 different platform versions</t>
  </si>
  <si>
    <t>The website works on more than 5 different platform versions</t>
  </si>
  <si>
    <t>The website does not adjust and resize itself according to the user's screen size and device</t>
  </si>
  <si>
    <t>The website does adjust and resize itself according to the user's screen size and device, but some features are compromised</t>
  </si>
  <si>
    <t>The website adjusts and resizes itself according to user's screen size and device, while still being fully operable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</si>
</sst>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8">
    <xf numFmtId="0" fontId="0" fillId="0" borderId="0" xfId="0"/>
    <xf numFmtId="49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9" borderId="1" xfId="0" applyFill="1" applyBorder="1"/>
    <xf numFmtId="0" fontId="0" fillId="8" borderId="1" xfId="0" applyFill="1" applyBorder="1"/>
    <xf numFmtId="0" fontId="0" fillId="0" borderId="1" xfId="0" applyBorder="1"/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/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10" borderId="1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6" borderId="16" xfId="0" applyFill="1" applyBorder="1"/>
    <xf numFmtId="0" fontId="3" fillId="0" borderId="1" xfId="0" applyFont="1" applyBorder="1" applyAlignment="1">
      <alignment horizontal="center" vertical="center" wrapText="1"/>
    </xf>
    <xf numFmtId="0" fontId="0" fillId="7" borderId="18" xfId="0" applyFill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0" fillId="9" borderId="18" xfId="0" applyFill="1" applyBorder="1" applyAlignment="1">
      <alignment horizontal="left" vertical="center" wrapText="1"/>
    </xf>
    <xf numFmtId="0" fontId="0" fillId="8" borderId="1" xfId="0" applyFill="1" applyBorder="1" applyAlignment="1">
      <alignment wrapText="1"/>
    </xf>
    <xf numFmtId="0" fontId="0" fillId="11" borderId="1" xfId="0" applyFill="1" applyBorder="1"/>
    <xf numFmtId="0" fontId="0" fillId="12" borderId="1" xfId="0" applyFill="1" applyBorder="1"/>
    <xf numFmtId="0" fontId="0" fillId="11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8" xfId="0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9" borderId="1" xfId="0" applyFill="1" applyBorder="1" applyAlignment="1">
      <alignment vertical="center" wrapText="1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1FEB-C74F-4667-B34B-C7DB22123B5A}">
  <dimension ref="A1:J42"/>
  <sheetViews>
    <sheetView tabSelected="1" zoomScale="84" workbookViewId="0">
      <selection activeCell="A2" sqref="A2:A42"/>
    </sheetView>
  </sheetViews>
  <sheetFormatPr defaultRowHeight="14.4" x14ac:dyDescent="0.3"/>
  <cols>
    <col min="4" max="4" width="15" customWidth="1"/>
    <col min="6" max="6" width="13" customWidth="1"/>
    <col min="7" max="7" width="25" customWidth="1"/>
    <col min="8" max="8" width="12.5546875" customWidth="1"/>
    <col min="9" max="9" width="85.109375" bestFit="1" customWidth="1"/>
    <col min="10" max="10" width="17.109375" customWidth="1"/>
  </cols>
  <sheetData>
    <row r="1" spans="1:10" ht="72.599999999999994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</row>
    <row r="2" spans="1:10" x14ac:dyDescent="0.3">
      <c r="A2" s="82">
        <f>(LOG(1+C2/100)+LOG(1+C11/100)+LOG(1+C23/100)+LOG(1+C35/100))/(3*LOG(2))</f>
        <v>0</v>
      </c>
      <c r="B2" s="78">
        <f>SQRT((1-C2/100)^2+(1-C11/100)^2+(1-C23/100)^2+(1-C35/100)^2)</f>
        <v>2</v>
      </c>
      <c r="C2" s="88">
        <f>SUMPRODUCT(E2:E10,F2:F10)</f>
        <v>0</v>
      </c>
      <c r="D2" s="88" t="s">
        <v>10</v>
      </c>
      <c r="E2" s="58">
        <f>(1/(SUM(H2:H6)))*SUMPRODUCT(H2:H6,J2:J6)</f>
        <v>0</v>
      </c>
      <c r="F2" s="58">
        <f>COUNT(H2:H6)/COUNT(H2:H10)</f>
        <v>0.55555555555555558</v>
      </c>
      <c r="G2" s="58" t="s">
        <v>11</v>
      </c>
      <c r="H2" s="4">
        <v>10</v>
      </c>
      <c r="I2" s="4" t="s">
        <v>51</v>
      </c>
      <c r="J2" s="4">
        <v>0</v>
      </c>
    </row>
    <row r="3" spans="1:10" x14ac:dyDescent="0.3">
      <c r="A3" s="83"/>
      <c r="B3" s="79"/>
      <c r="C3" s="88"/>
      <c r="D3" s="88"/>
      <c r="E3" s="59"/>
      <c r="F3" s="59"/>
      <c r="G3" s="59"/>
      <c r="H3" s="4">
        <v>10</v>
      </c>
      <c r="I3" s="4" t="s">
        <v>52</v>
      </c>
      <c r="J3" s="4">
        <v>0</v>
      </c>
    </row>
    <row r="4" spans="1:10" x14ac:dyDescent="0.3">
      <c r="A4" s="83"/>
      <c r="B4" s="79"/>
      <c r="C4" s="88"/>
      <c r="D4" s="88"/>
      <c r="E4" s="59"/>
      <c r="F4" s="59"/>
      <c r="G4" s="59"/>
      <c r="H4" s="4">
        <v>10</v>
      </c>
      <c r="I4" s="4" t="s">
        <v>54</v>
      </c>
      <c r="J4" s="4">
        <v>0</v>
      </c>
    </row>
    <row r="5" spans="1:10" x14ac:dyDescent="0.3">
      <c r="A5" s="83"/>
      <c r="B5" s="79"/>
      <c r="C5" s="88"/>
      <c r="D5" s="88"/>
      <c r="E5" s="59"/>
      <c r="F5" s="59"/>
      <c r="G5" s="59"/>
      <c r="H5" s="4">
        <v>4</v>
      </c>
      <c r="I5" s="4" t="s">
        <v>53</v>
      </c>
      <c r="J5" s="4">
        <v>0</v>
      </c>
    </row>
    <row r="6" spans="1:10" x14ac:dyDescent="0.3">
      <c r="A6" s="83"/>
      <c r="B6" s="79"/>
      <c r="C6" s="88"/>
      <c r="D6" s="88"/>
      <c r="E6" s="60"/>
      <c r="F6" s="60"/>
      <c r="G6" s="60"/>
      <c r="H6" s="4">
        <v>4</v>
      </c>
      <c r="I6" s="4" t="s">
        <v>55</v>
      </c>
      <c r="J6" s="4">
        <v>0</v>
      </c>
    </row>
    <row r="7" spans="1:10" x14ac:dyDescent="0.3">
      <c r="A7" s="83"/>
      <c r="B7" s="79"/>
      <c r="C7" s="88"/>
      <c r="D7" s="88"/>
      <c r="E7" s="28">
        <f>(1/(SUM(H7:H7)))*SUMPRODUCT(H7:H7,J7:J7)</f>
        <v>0</v>
      </c>
      <c r="F7" s="28">
        <f>COUNT(H7:H7)/COUNT(H2:H10)</f>
        <v>0.1111111111111111</v>
      </c>
      <c r="G7" s="28" t="s">
        <v>12</v>
      </c>
      <c r="H7" s="5">
        <v>8</v>
      </c>
      <c r="I7" s="5" t="s">
        <v>13</v>
      </c>
      <c r="J7" s="5">
        <v>0</v>
      </c>
    </row>
    <row r="8" spans="1:10" x14ac:dyDescent="0.3">
      <c r="A8" s="83"/>
      <c r="B8" s="79"/>
      <c r="C8" s="88"/>
      <c r="D8" s="88"/>
      <c r="E8" s="61">
        <f>(1/(SUM(H8:H10)))*SUMPRODUCT(H8:H10,J8:J10)</f>
        <v>0</v>
      </c>
      <c r="F8" s="61">
        <f>COUNT(H8:H10)/COUNT(H2:H10)</f>
        <v>0.33333333333333331</v>
      </c>
      <c r="G8" s="61" t="s">
        <v>14</v>
      </c>
      <c r="H8" s="6">
        <v>2</v>
      </c>
      <c r="I8" s="6" t="s">
        <v>56</v>
      </c>
      <c r="J8" s="6">
        <v>0</v>
      </c>
    </row>
    <row r="9" spans="1:10" x14ac:dyDescent="0.3">
      <c r="A9" s="83"/>
      <c r="B9" s="79"/>
      <c r="C9" s="88"/>
      <c r="D9" s="88"/>
      <c r="E9" s="62"/>
      <c r="F9" s="62"/>
      <c r="G9" s="62"/>
      <c r="H9" s="6">
        <v>2</v>
      </c>
      <c r="I9" s="6" t="s">
        <v>58</v>
      </c>
      <c r="J9" s="6">
        <v>0</v>
      </c>
    </row>
    <row r="10" spans="1:10" x14ac:dyDescent="0.3">
      <c r="A10" s="83"/>
      <c r="B10" s="79"/>
      <c r="C10" s="88"/>
      <c r="D10" s="88"/>
      <c r="E10" s="63"/>
      <c r="F10" s="63"/>
      <c r="G10" s="63"/>
      <c r="H10" s="6">
        <v>10</v>
      </c>
      <c r="I10" s="6" t="s">
        <v>57</v>
      </c>
      <c r="J10" s="6">
        <v>0</v>
      </c>
    </row>
    <row r="11" spans="1:10" x14ac:dyDescent="0.3">
      <c r="A11" s="83"/>
      <c r="B11" s="79"/>
      <c r="C11" s="52">
        <f>SUMPRODUCT(E11:E22,F11:F22)</f>
        <v>0</v>
      </c>
      <c r="D11" s="52" t="s">
        <v>172</v>
      </c>
      <c r="E11" s="64">
        <f>(1/(SUM(H11:H16)))*SUMPRODUCT(H11:H16,J11:J16)</f>
        <v>0</v>
      </c>
      <c r="F11" s="64">
        <f>COUNT(H11:H16)/COUNT(H11:H22)</f>
        <v>0.5</v>
      </c>
      <c r="G11" s="64" t="s">
        <v>16</v>
      </c>
      <c r="H11" s="49">
        <v>10</v>
      </c>
      <c r="I11" s="49" t="s">
        <v>59</v>
      </c>
      <c r="J11" s="49">
        <v>0</v>
      </c>
    </row>
    <row r="12" spans="1:10" x14ac:dyDescent="0.3">
      <c r="A12" s="83"/>
      <c r="B12" s="79"/>
      <c r="C12" s="53"/>
      <c r="D12" s="53"/>
      <c r="E12" s="65"/>
      <c r="F12" s="65"/>
      <c r="G12" s="65"/>
      <c r="H12" s="49">
        <v>10</v>
      </c>
      <c r="I12" s="49" t="s">
        <v>60</v>
      </c>
      <c r="J12" s="49">
        <v>0</v>
      </c>
    </row>
    <row r="13" spans="1:10" x14ac:dyDescent="0.3">
      <c r="A13" s="83"/>
      <c r="B13" s="79"/>
      <c r="C13" s="53"/>
      <c r="D13" s="53"/>
      <c r="E13" s="65"/>
      <c r="F13" s="65"/>
      <c r="G13" s="65"/>
      <c r="H13" s="49">
        <v>10</v>
      </c>
      <c r="I13" s="49" t="s">
        <v>173</v>
      </c>
      <c r="J13" s="49">
        <v>0</v>
      </c>
    </row>
    <row r="14" spans="1:10" x14ac:dyDescent="0.3">
      <c r="A14" s="83"/>
      <c r="B14" s="79"/>
      <c r="C14" s="53"/>
      <c r="D14" s="53"/>
      <c r="E14" s="65"/>
      <c r="F14" s="65"/>
      <c r="G14" s="65"/>
      <c r="H14" s="49">
        <v>8</v>
      </c>
      <c r="I14" s="49" t="s">
        <v>62</v>
      </c>
      <c r="J14" s="49">
        <v>0</v>
      </c>
    </row>
    <row r="15" spans="1:10" x14ac:dyDescent="0.3">
      <c r="A15" s="83"/>
      <c r="B15" s="79"/>
      <c r="C15" s="53"/>
      <c r="D15" s="53"/>
      <c r="E15" s="65"/>
      <c r="F15" s="65"/>
      <c r="G15" s="65"/>
      <c r="H15" s="49">
        <v>6</v>
      </c>
      <c r="I15" s="49" t="s">
        <v>63</v>
      </c>
      <c r="J15" s="49">
        <v>0</v>
      </c>
    </row>
    <row r="16" spans="1:10" x14ac:dyDescent="0.3">
      <c r="A16" s="83"/>
      <c r="B16" s="79"/>
      <c r="C16" s="53"/>
      <c r="D16" s="53"/>
      <c r="E16" s="66"/>
      <c r="F16" s="66"/>
      <c r="G16" s="66"/>
      <c r="H16" s="49">
        <v>6</v>
      </c>
      <c r="I16" s="49" t="s">
        <v>64</v>
      </c>
      <c r="J16" s="49">
        <v>0</v>
      </c>
    </row>
    <row r="17" spans="1:10" x14ac:dyDescent="0.3">
      <c r="A17" s="83"/>
      <c r="B17" s="79"/>
      <c r="C17" s="53"/>
      <c r="D17" s="53"/>
      <c r="E17" s="52">
        <f>(1/(SUM(H17:H22)))*SUMPRODUCT(H17:H22,J17:J22)</f>
        <v>0</v>
      </c>
      <c r="F17" s="52">
        <f>COUNT(H17:H22)/COUNT(H11:H22)</f>
        <v>0.5</v>
      </c>
      <c r="G17" s="52" t="s">
        <v>174</v>
      </c>
      <c r="H17" s="48">
        <v>8</v>
      </c>
      <c r="I17" s="48" t="s">
        <v>175</v>
      </c>
      <c r="J17" s="48">
        <v>0</v>
      </c>
    </row>
    <row r="18" spans="1:10" x14ac:dyDescent="0.3">
      <c r="A18" s="83"/>
      <c r="B18" s="79"/>
      <c r="C18" s="53"/>
      <c r="D18" s="53"/>
      <c r="E18" s="53"/>
      <c r="F18" s="53"/>
      <c r="G18" s="53"/>
      <c r="H18" s="48">
        <v>8</v>
      </c>
      <c r="I18" s="48" t="s">
        <v>176</v>
      </c>
      <c r="J18" s="48">
        <v>0</v>
      </c>
    </row>
    <row r="19" spans="1:10" x14ac:dyDescent="0.3">
      <c r="A19" s="83"/>
      <c r="B19" s="79"/>
      <c r="C19" s="53"/>
      <c r="D19" s="53"/>
      <c r="E19" s="53"/>
      <c r="F19" s="53"/>
      <c r="G19" s="53"/>
      <c r="H19" s="48">
        <v>10</v>
      </c>
      <c r="I19" s="48" t="s">
        <v>177</v>
      </c>
      <c r="J19" s="48">
        <v>0</v>
      </c>
    </row>
    <row r="20" spans="1:10" x14ac:dyDescent="0.3">
      <c r="A20" s="83"/>
      <c r="B20" s="79"/>
      <c r="C20" s="53"/>
      <c r="D20" s="53"/>
      <c r="E20" s="53"/>
      <c r="F20" s="53"/>
      <c r="G20" s="53"/>
      <c r="H20" s="48">
        <v>10</v>
      </c>
      <c r="I20" s="48" t="s">
        <v>178</v>
      </c>
      <c r="J20" s="48">
        <v>0</v>
      </c>
    </row>
    <row r="21" spans="1:10" x14ac:dyDescent="0.3">
      <c r="A21" s="83"/>
      <c r="B21" s="79"/>
      <c r="C21" s="53"/>
      <c r="D21" s="53"/>
      <c r="E21" s="53"/>
      <c r="F21" s="53"/>
      <c r="G21" s="53"/>
      <c r="H21" s="48">
        <v>6</v>
      </c>
      <c r="I21" s="48" t="s">
        <v>195</v>
      </c>
      <c r="J21" s="48">
        <v>0</v>
      </c>
    </row>
    <row r="22" spans="1:10" x14ac:dyDescent="0.3">
      <c r="A22" s="83"/>
      <c r="B22" s="79"/>
      <c r="C22" s="53"/>
      <c r="D22" s="57"/>
      <c r="E22" s="57"/>
      <c r="F22" s="57"/>
      <c r="G22" s="57"/>
      <c r="H22" s="48">
        <v>10</v>
      </c>
      <c r="I22" s="48" t="s">
        <v>196</v>
      </c>
      <c r="J22" s="48">
        <v>0</v>
      </c>
    </row>
    <row r="23" spans="1:10" x14ac:dyDescent="0.3">
      <c r="A23" s="83"/>
      <c r="B23" s="80"/>
      <c r="C23" s="54">
        <f>SUMPRODUCT(E23:E34,F23:F34)</f>
        <v>0</v>
      </c>
      <c r="D23" s="89" t="s">
        <v>15</v>
      </c>
      <c r="E23" s="71">
        <f>(1/(SUM(H23:H31)))*SUMPRODUCT(H23:H31,J23:J31)</f>
        <v>0</v>
      </c>
      <c r="F23" s="71">
        <f>COUNT(H23:H31)/COUNT(H23:H34)</f>
        <v>0.75</v>
      </c>
      <c r="G23" s="71" t="s">
        <v>17</v>
      </c>
      <c r="H23" s="7">
        <v>8</v>
      </c>
      <c r="I23" s="7" t="s">
        <v>65</v>
      </c>
      <c r="J23" s="7">
        <v>0</v>
      </c>
    </row>
    <row r="24" spans="1:10" x14ac:dyDescent="0.3">
      <c r="A24" s="83"/>
      <c r="B24" s="80"/>
      <c r="C24" s="55"/>
      <c r="D24" s="89"/>
      <c r="E24" s="72"/>
      <c r="F24" s="72"/>
      <c r="G24" s="72"/>
      <c r="H24" s="7">
        <v>8</v>
      </c>
      <c r="I24" s="7" t="s">
        <v>66</v>
      </c>
      <c r="J24" s="7">
        <v>0</v>
      </c>
    </row>
    <row r="25" spans="1:10" x14ac:dyDescent="0.3">
      <c r="A25" s="83"/>
      <c r="B25" s="80"/>
      <c r="C25" s="55"/>
      <c r="D25" s="89"/>
      <c r="E25" s="72"/>
      <c r="F25" s="72"/>
      <c r="G25" s="72"/>
      <c r="H25" s="7">
        <v>10</v>
      </c>
      <c r="I25" s="7" t="s">
        <v>67</v>
      </c>
      <c r="J25" s="7">
        <v>0</v>
      </c>
    </row>
    <row r="26" spans="1:10" x14ac:dyDescent="0.3">
      <c r="A26" s="83"/>
      <c r="B26" s="80"/>
      <c r="C26" s="55"/>
      <c r="D26" s="89"/>
      <c r="E26" s="72"/>
      <c r="F26" s="72"/>
      <c r="G26" s="72"/>
      <c r="H26" s="7">
        <v>10</v>
      </c>
      <c r="I26" s="7" t="s">
        <v>68</v>
      </c>
      <c r="J26" s="7">
        <v>0</v>
      </c>
    </row>
    <row r="27" spans="1:10" x14ac:dyDescent="0.3">
      <c r="A27" s="83"/>
      <c r="B27" s="80"/>
      <c r="C27" s="55"/>
      <c r="D27" s="89"/>
      <c r="E27" s="72"/>
      <c r="F27" s="72"/>
      <c r="G27" s="72"/>
      <c r="H27" s="7">
        <v>10</v>
      </c>
      <c r="I27" s="7" t="s">
        <v>148</v>
      </c>
      <c r="J27" s="7">
        <v>0</v>
      </c>
    </row>
    <row r="28" spans="1:10" x14ac:dyDescent="0.3">
      <c r="A28" s="83"/>
      <c r="B28" s="80"/>
      <c r="C28" s="55"/>
      <c r="D28" s="89"/>
      <c r="E28" s="72"/>
      <c r="F28" s="72"/>
      <c r="G28" s="72"/>
      <c r="H28" s="7">
        <v>10</v>
      </c>
      <c r="I28" s="7" t="s">
        <v>150</v>
      </c>
      <c r="J28" s="7">
        <v>0</v>
      </c>
    </row>
    <row r="29" spans="1:10" x14ac:dyDescent="0.3">
      <c r="A29" s="83"/>
      <c r="B29" s="80"/>
      <c r="C29" s="55"/>
      <c r="D29" s="89"/>
      <c r="E29" s="72"/>
      <c r="F29" s="72"/>
      <c r="G29" s="72"/>
      <c r="H29" s="7">
        <v>10</v>
      </c>
      <c r="I29" s="7" t="s">
        <v>69</v>
      </c>
      <c r="J29" s="7">
        <v>0</v>
      </c>
    </row>
    <row r="30" spans="1:10" x14ac:dyDescent="0.3">
      <c r="A30" s="83"/>
      <c r="B30" s="80"/>
      <c r="C30" s="55"/>
      <c r="D30" s="89"/>
      <c r="E30" s="72"/>
      <c r="F30" s="72"/>
      <c r="G30" s="72"/>
      <c r="H30" s="7">
        <v>10</v>
      </c>
      <c r="I30" s="7" t="s">
        <v>70</v>
      </c>
      <c r="J30" s="7">
        <v>0</v>
      </c>
    </row>
    <row r="31" spans="1:10" x14ac:dyDescent="0.3">
      <c r="A31" s="83"/>
      <c r="B31" s="80"/>
      <c r="C31" s="55"/>
      <c r="D31" s="89"/>
      <c r="E31" s="74"/>
      <c r="F31" s="74"/>
      <c r="G31" s="73"/>
      <c r="H31" s="7">
        <v>10</v>
      </c>
      <c r="I31" s="7" t="s">
        <v>71</v>
      </c>
      <c r="J31" s="7">
        <v>0</v>
      </c>
    </row>
    <row r="32" spans="1:10" x14ac:dyDescent="0.3">
      <c r="A32" s="83"/>
      <c r="B32" s="80"/>
      <c r="C32" s="55"/>
      <c r="D32" s="89"/>
      <c r="E32" s="86">
        <f>(1/(SUM(H32:H34)))*SUMPRODUCT(H32:H34,J32:J34)</f>
        <v>0</v>
      </c>
      <c r="F32" s="86">
        <f>COUNT(H32:H34)/COUNT(H23:H34)</f>
        <v>0.25</v>
      </c>
      <c r="G32" s="75" t="s">
        <v>18</v>
      </c>
      <c r="H32" s="41">
        <v>8</v>
      </c>
      <c r="I32" s="8" t="s">
        <v>72</v>
      </c>
      <c r="J32" s="8">
        <v>0</v>
      </c>
    </row>
    <row r="33" spans="1:10" x14ac:dyDescent="0.3">
      <c r="A33" s="83"/>
      <c r="B33" s="80"/>
      <c r="C33" s="55"/>
      <c r="D33" s="89"/>
      <c r="E33" s="55"/>
      <c r="F33" s="55"/>
      <c r="G33" s="76"/>
      <c r="H33" s="41">
        <v>6</v>
      </c>
      <c r="I33" s="8" t="s">
        <v>73</v>
      </c>
      <c r="J33" s="8">
        <v>0</v>
      </c>
    </row>
    <row r="34" spans="1:10" x14ac:dyDescent="0.3">
      <c r="A34" s="83"/>
      <c r="B34" s="80"/>
      <c r="C34" s="56"/>
      <c r="D34" s="89"/>
      <c r="E34" s="56"/>
      <c r="F34" s="87"/>
      <c r="G34" s="77"/>
      <c r="H34" s="41">
        <v>10</v>
      </c>
      <c r="I34" s="8" t="s">
        <v>74</v>
      </c>
      <c r="J34" s="8">
        <v>0</v>
      </c>
    </row>
    <row r="35" spans="1:10" x14ac:dyDescent="0.3">
      <c r="A35" s="83"/>
      <c r="B35" s="80"/>
      <c r="C35" s="67">
        <f>SUMPRODUCT(E35:E42,F35:F42)</f>
        <v>0</v>
      </c>
      <c r="D35" s="67" t="s">
        <v>19</v>
      </c>
      <c r="E35" s="85">
        <f>(1/(SUM(H35:H39)))*SUMPRODUCT(H35:H39,J35:J39)</f>
        <v>0</v>
      </c>
      <c r="F35" s="69">
        <f>COUNT(H35:H39)/COUNT(H35:H42)</f>
        <v>0.625</v>
      </c>
      <c r="G35" s="68" t="s">
        <v>75</v>
      </c>
      <c r="H35" s="9">
        <v>0</v>
      </c>
      <c r="I35" s="9" t="s">
        <v>76</v>
      </c>
      <c r="J35" s="9">
        <v>0</v>
      </c>
    </row>
    <row r="36" spans="1:10" x14ac:dyDescent="0.3">
      <c r="A36" s="83"/>
      <c r="B36" s="80"/>
      <c r="C36" s="67"/>
      <c r="D36" s="67"/>
      <c r="E36" s="69"/>
      <c r="F36" s="69"/>
      <c r="G36" s="69"/>
      <c r="H36" s="9">
        <v>10</v>
      </c>
      <c r="I36" s="9" t="s">
        <v>77</v>
      </c>
      <c r="J36" s="9">
        <v>0</v>
      </c>
    </row>
    <row r="37" spans="1:10" x14ac:dyDescent="0.3">
      <c r="A37" s="83"/>
      <c r="B37" s="80"/>
      <c r="C37" s="67"/>
      <c r="D37" s="67"/>
      <c r="E37" s="69"/>
      <c r="F37" s="69"/>
      <c r="G37" s="69"/>
      <c r="H37" s="9">
        <v>6</v>
      </c>
      <c r="I37" s="9" t="s">
        <v>181</v>
      </c>
      <c r="J37" s="9">
        <v>0</v>
      </c>
    </row>
    <row r="38" spans="1:10" x14ac:dyDescent="0.3">
      <c r="A38" s="83"/>
      <c r="B38" s="80"/>
      <c r="C38" s="67"/>
      <c r="D38" s="67"/>
      <c r="E38" s="69"/>
      <c r="F38" s="69"/>
      <c r="G38" s="69"/>
      <c r="H38" s="9">
        <v>6</v>
      </c>
      <c r="I38" s="9" t="s">
        <v>182</v>
      </c>
      <c r="J38" s="9">
        <v>0</v>
      </c>
    </row>
    <row r="39" spans="1:10" x14ac:dyDescent="0.3">
      <c r="A39" s="83"/>
      <c r="B39" s="80"/>
      <c r="C39" s="67"/>
      <c r="D39" s="67"/>
      <c r="E39" s="70"/>
      <c r="F39" s="70"/>
      <c r="G39" s="70"/>
      <c r="H39" s="9">
        <v>10</v>
      </c>
      <c r="I39" s="9" t="s">
        <v>183</v>
      </c>
      <c r="J39" s="9">
        <v>0</v>
      </c>
    </row>
    <row r="40" spans="1:10" x14ac:dyDescent="0.3">
      <c r="A40" s="83"/>
      <c r="B40" s="80"/>
      <c r="C40" s="67"/>
      <c r="D40" s="67"/>
      <c r="E40" s="67">
        <f>(1/(SUM(H40:H42)))*SUMPRODUCT(H40:H42,J40:J42)</f>
        <v>0</v>
      </c>
      <c r="F40" s="67">
        <f>COUNT(H40:H42)/COUNT(H35:H42)</f>
        <v>0.375</v>
      </c>
      <c r="G40" s="67" t="s">
        <v>78</v>
      </c>
      <c r="H40" s="10">
        <v>8</v>
      </c>
      <c r="I40" s="10" t="s">
        <v>186</v>
      </c>
      <c r="J40" s="10">
        <v>0</v>
      </c>
    </row>
    <row r="41" spans="1:10" ht="28.8" x14ac:dyDescent="0.3">
      <c r="A41" s="83"/>
      <c r="B41" s="80"/>
      <c r="C41" s="67"/>
      <c r="D41" s="67"/>
      <c r="E41" s="67"/>
      <c r="F41" s="67"/>
      <c r="G41" s="67"/>
      <c r="H41" s="10">
        <v>10</v>
      </c>
      <c r="I41" s="47" t="s">
        <v>184</v>
      </c>
      <c r="J41" s="10">
        <v>0</v>
      </c>
    </row>
    <row r="42" spans="1:10" ht="15" thickBot="1" x14ac:dyDescent="0.35">
      <c r="A42" s="84"/>
      <c r="B42" s="81"/>
      <c r="C42" s="67"/>
      <c r="D42" s="67"/>
      <c r="E42" s="67"/>
      <c r="F42" s="67"/>
      <c r="G42" s="67"/>
      <c r="H42" s="10">
        <v>4</v>
      </c>
      <c r="I42" s="10" t="s">
        <v>185</v>
      </c>
      <c r="J42" s="10">
        <v>0</v>
      </c>
    </row>
  </sheetData>
  <mergeCells count="34">
    <mergeCell ref="B2:B42"/>
    <mergeCell ref="A2:A42"/>
    <mergeCell ref="F35:F39"/>
    <mergeCell ref="E35:E39"/>
    <mergeCell ref="F32:F34"/>
    <mergeCell ref="E32:E34"/>
    <mergeCell ref="D2:D10"/>
    <mergeCell ref="C2:C10"/>
    <mergeCell ref="D23:D34"/>
    <mergeCell ref="C35:C42"/>
    <mergeCell ref="E40:E42"/>
    <mergeCell ref="F40:F42"/>
    <mergeCell ref="D35:D42"/>
    <mergeCell ref="G40:G42"/>
    <mergeCell ref="G35:G39"/>
    <mergeCell ref="G23:G31"/>
    <mergeCell ref="E23:E31"/>
    <mergeCell ref="F23:F31"/>
    <mergeCell ref="G32:G34"/>
    <mergeCell ref="G17:G22"/>
    <mergeCell ref="G2:G6"/>
    <mergeCell ref="G8:G10"/>
    <mergeCell ref="F11:F16"/>
    <mergeCell ref="E11:E16"/>
    <mergeCell ref="F8:F10"/>
    <mergeCell ref="E8:E10"/>
    <mergeCell ref="F2:F6"/>
    <mergeCell ref="E2:E6"/>
    <mergeCell ref="G11:G16"/>
    <mergeCell ref="C11:C22"/>
    <mergeCell ref="C23:C34"/>
    <mergeCell ref="D11:D22"/>
    <mergeCell ref="E17:E22"/>
    <mergeCell ref="F17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3493-7610-411B-B09B-D3839F73362B}">
  <dimension ref="A1:G28"/>
  <sheetViews>
    <sheetView topLeftCell="A8" zoomScale="37" workbookViewId="0">
      <selection activeCell="A25" sqref="A25:A27"/>
    </sheetView>
  </sheetViews>
  <sheetFormatPr defaultRowHeight="14.4" x14ac:dyDescent="0.3"/>
  <cols>
    <col min="1" max="2" width="35.6640625" customWidth="1"/>
    <col min="3" max="7" width="25.6640625" customWidth="1"/>
  </cols>
  <sheetData>
    <row r="1" spans="1:7" x14ac:dyDescent="0.3">
      <c r="A1" s="17" t="s">
        <v>3</v>
      </c>
      <c r="B1" s="11" t="s">
        <v>10</v>
      </c>
    </row>
    <row r="2" spans="1:7" x14ac:dyDescent="0.3">
      <c r="A2" s="17" t="s">
        <v>6</v>
      </c>
      <c r="B2" s="11" t="s">
        <v>11</v>
      </c>
    </row>
    <row r="4" spans="1:7" x14ac:dyDescent="0.3">
      <c r="C4" s="90" t="s">
        <v>20</v>
      </c>
      <c r="D4" s="90"/>
      <c r="E4" s="90"/>
      <c r="F4" s="90"/>
      <c r="G4" s="90"/>
    </row>
    <row r="5" spans="1:7" x14ac:dyDescent="0.3">
      <c r="A5" s="12" t="s">
        <v>8</v>
      </c>
      <c r="B5" s="12" t="s">
        <v>21</v>
      </c>
      <c r="C5" s="12">
        <v>0</v>
      </c>
      <c r="D5" s="12">
        <v>25</v>
      </c>
      <c r="E5" s="12">
        <v>50</v>
      </c>
      <c r="F5" s="12">
        <v>75</v>
      </c>
      <c r="G5" s="12">
        <v>100</v>
      </c>
    </row>
    <row r="6" spans="1:7" ht="78.75" customHeight="1" x14ac:dyDescent="0.3">
      <c r="A6" s="35" t="s">
        <v>51</v>
      </c>
      <c r="B6" s="22" t="s">
        <v>82</v>
      </c>
      <c r="C6" s="14" t="s">
        <v>91</v>
      </c>
      <c r="D6" s="19"/>
      <c r="E6" s="14" t="s">
        <v>92</v>
      </c>
      <c r="F6" s="14"/>
      <c r="G6" s="14" t="s">
        <v>93</v>
      </c>
    </row>
    <row r="7" spans="1:7" ht="51" customHeight="1" x14ac:dyDescent="0.3">
      <c r="A7" s="35" t="s">
        <v>52</v>
      </c>
      <c r="B7" s="23" t="s">
        <v>83</v>
      </c>
      <c r="C7" s="16" t="s">
        <v>94</v>
      </c>
      <c r="D7" s="20"/>
      <c r="E7" s="16" t="s">
        <v>95</v>
      </c>
      <c r="F7" s="20"/>
      <c r="G7" s="16" t="s">
        <v>96</v>
      </c>
    </row>
    <row r="8" spans="1:7" ht="73.5" customHeight="1" x14ac:dyDescent="0.3">
      <c r="A8" s="35" t="s">
        <v>54</v>
      </c>
      <c r="B8" s="24" t="s">
        <v>84</v>
      </c>
      <c r="C8" s="21" t="s">
        <v>97</v>
      </c>
      <c r="D8" s="21"/>
      <c r="E8" s="21" t="s">
        <v>98</v>
      </c>
      <c r="F8" s="21"/>
      <c r="G8" s="21" t="s">
        <v>99</v>
      </c>
    </row>
    <row r="9" spans="1:7" ht="66" customHeight="1" x14ac:dyDescent="0.3">
      <c r="A9" s="35" t="s">
        <v>53</v>
      </c>
      <c r="B9" s="23" t="s">
        <v>101</v>
      </c>
      <c r="C9" s="16" t="s">
        <v>100</v>
      </c>
      <c r="D9" s="20"/>
      <c r="E9" s="16"/>
      <c r="F9" s="20"/>
      <c r="G9" s="16" t="s">
        <v>102</v>
      </c>
    </row>
    <row r="10" spans="1:7" ht="61.8" customHeight="1" x14ac:dyDescent="0.3">
      <c r="A10" s="35" t="s">
        <v>55</v>
      </c>
      <c r="B10" s="29" t="s">
        <v>85</v>
      </c>
      <c r="C10" s="30" t="s">
        <v>103</v>
      </c>
      <c r="G10" s="30" t="s">
        <v>103</v>
      </c>
    </row>
    <row r="13" spans="1:7" x14ac:dyDescent="0.3">
      <c r="A13" s="17" t="s">
        <v>6</v>
      </c>
      <c r="B13" s="11" t="s">
        <v>12</v>
      </c>
    </row>
    <row r="15" spans="1:7" x14ac:dyDescent="0.3">
      <c r="C15" s="91" t="s">
        <v>20</v>
      </c>
      <c r="D15" s="91"/>
      <c r="E15" s="91"/>
      <c r="F15" s="91"/>
      <c r="G15" s="91"/>
    </row>
    <row r="16" spans="1:7" x14ac:dyDescent="0.3">
      <c r="A16" s="12" t="s">
        <v>8</v>
      </c>
      <c r="B16" s="12" t="s">
        <v>21</v>
      </c>
      <c r="C16" s="12">
        <v>0</v>
      </c>
      <c r="D16" s="12">
        <v>25</v>
      </c>
      <c r="E16" s="12">
        <v>50</v>
      </c>
      <c r="F16" s="12">
        <v>75</v>
      </c>
      <c r="G16" s="12">
        <v>100</v>
      </c>
    </row>
    <row r="17" spans="1:7" ht="86.25" customHeight="1" x14ac:dyDescent="0.3">
      <c r="A17" s="36" t="s">
        <v>86</v>
      </c>
      <c r="B17" s="24" t="s">
        <v>87</v>
      </c>
      <c r="C17" s="21" t="s">
        <v>105</v>
      </c>
      <c r="D17" s="21"/>
      <c r="E17" s="21"/>
      <c r="F17" s="21"/>
      <c r="G17" s="21" t="s">
        <v>104</v>
      </c>
    </row>
    <row r="18" spans="1:7" x14ac:dyDescent="0.3">
      <c r="A18" s="15"/>
    </row>
    <row r="19" spans="1:7" x14ac:dyDescent="0.3">
      <c r="A19" s="15"/>
    </row>
    <row r="21" spans="1:7" x14ac:dyDescent="0.3">
      <c r="A21" s="17" t="s">
        <v>6</v>
      </c>
      <c r="B21" s="11" t="s">
        <v>14</v>
      </c>
    </row>
    <row r="23" spans="1:7" x14ac:dyDescent="0.3">
      <c r="C23" s="91" t="s">
        <v>20</v>
      </c>
      <c r="D23" s="91"/>
      <c r="E23" s="91"/>
      <c r="F23" s="91"/>
      <c r="G23" s="91"/>
    </row>
    <row r="24" spans="1:7" x14ac:dyDescent="0.3">
      <c r="A24" s="12" t="s">
        <v>8</v>
      </c>
      <c r="B24" s="12" t="s">
        <v>21</v>
      </c>
      <c r="C24" s="12">
        <v>0</v>
      </c>
      <c r="D24" s="12">
        <v>25</v>
      </c>
      <c r="E24" s="12">
        <v>50</v>
      </c>
      <c r="F24" s="12">
        <v>75</v>
      </c>
      <c r="G24" s="12">
        <v>100</v>
      </c>
    </row>
    <row r="25" spans="1:7" ht="109.5" customHeight="1" x14ac:dyDescent="0.3">
      <c r="A25" s="38" t="s">
        <v>56</v>
      </c>
      <c r="B25" s="23" t="s">
        <v>88</v>
      </c>
      <c r="C25" s="16" t="s">
        <v>106</v>
      </c>
      <c r="D25" s="16"/>
      <c r="E25" s="16" t="s">
        <v>108</v>
      </c>
      <c r="F25" s="16"/>
      <c r="G25" s="16" t="s">
        <v>107</v>
      </c>
    </row>
    <row r="26" spans="1:7" ht="81" customHeight="1" x14ac:dyDescent="0.3">
      <c r="A26" s="38" t="s">
        <v>58</v>
      </c>
      <c r="B26" s="24" t="s">
        <v>89</v>
      </c>
      <c r="C26" s="21" t="s">
        <v>109</v>
      </c>
      <c r="D26" s="21"/>
      <c r="E26" s="21"/>
      <c r="F26" s="21"/>
      <c r="G26" s="21" t="s">
        <v>110</v>
      </c>
    </row>
    <row r="27" spans="1:7" ht="93" customHeight="1" x14ac:dyDescent="0.3">
      <c r="A27" s="38" t="s">
        <v>57</v>
      </c>
      <c r="B27" s="23" t="s">
        <v>90</v>
      </c>
      <c r="C27" s="16" t="s">
        <v>112</v>
      </c>
      <c r="D27" s="16"/>
      <c r="E27" s="16"/>
      <c r="F27" s="16"/>
      <c r="G27" s="16" t="s">
        <v>111</v>
      </c>
    </row>
    <row r="28" spans="1:7" x14ac:dyDescent="0.3">
      <c r="A28" s="37"/>
    </row>
  </sheetData>
  <mergeCells count="3">
    <mergeCell ref="C4:G4"/>
    <mergeCell ref="C15:G15"/>
    <mergeCell ref="C23:G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7AF4-DD03-4AE3-AD4D-C4EF2F61208E}">
  <dimension ref="A1:G23"/>
  <sheetViews>
    <sheetView topLeftCell="A19" zoomScale="75" zoomScaleNormal="70" workbookViewId="0">
      <selection activeCell="G23" sqref="G23"/>
    </sheetView>
  </sheetViews>
  <sheetFormatPr defaultRowHeight="14.4" x14ac:dyDescent="0.3"/>
  <cols>
    <col min="1" max="1" width="33.33203125" customWidth="1"/>
    <col min="2" max="2" width="30.88671875" bestFit="1" customWidth="1"/>
    <col min="3" max="3" width="23.5546875" customWidth="1"/>
    <col min="4" max="4" width="9.88671875" customWidth="1"/>
    <col min="5" max="5" width="24.33203125" customWidth="1"/>
    <col min="6" max="6" width="10.77734375" customWidth="1"/>
    <col min="7" max="7" width="25.44140625" customWidth="1"/>
  </cols>
  <sheetData>
    <row r="1" spans="1:7" x14ac:dyDescent="0.3">
      <c r="A1" s="26" t="s">
        <v>3</v>
      </c>
      <c r="B1" s="20" t="s">
        <v>172</v>
      </c>
      <c r="C1" s="18"/>
      <c r="D1" s="18"/>
      <c r="E1" s="18"/>
      <c r="F1" s="18"/>
      <c r="G1" s="18"/>
    </row>
    <row r="2" spans="1:7" x14ac:dyDescent="0.3">
      <c r="A2" s="26" t="s">
        <v>6</v>
      </c>
      <c r="B2" s="20" t="s">
        <v>16</v>
      </c>
      <c r="C2" s="18"/>
      <c r="D2" s="18"/>
      <c r="E2" s="18"/>
      <c r="F2" s="18"/>
      <c r="G2" s="18"/>
    </row>
    <row r="3" spans="1:7" x14ac:dyDescent="0.3">
      <c r="A3" s="18"/>
      <c r="B3" s="18"/>
      <c r="C3" s="18"/>
      <c r="D3" s="18"/>
      <c r="E3" s="18"/>
      <c r="F3" s="18"/>
      <c r="G3" s="18"/>
    </row>
    <row r="4" spans="1:7" x14ac:dyDescent="0.3">
      <c r="A4" s="18"/>
      <c r="B4" s="18"/>
      <c r="C4" s="92" t="s">
        <v>20</v>
      </c>
      <c r="D4" s="92"/>
      <c r="E4" s="92"/>
      <c r="F4" s="92"/>
      <c r="G4" s="92"/>
    </row>
    <row r="5" spans="1:7" x14ac:dyDescent="0.3">
      <c r="A5" s="26" t="s">
        <v>8</v>
      </c>
      <c r="B5" s="26" t="s">
        <v>21</v>
      </c>
      <c r="C5" s="26">
        <v>0</v>
      </c>
      <c r="D5" s="26">
        <v>25</v>
      </c>
      <c r="E5" s="26">
        <v>50</v>
      </c>
      <c r="F5" s="26">
        <v>75</v>
      </c>
      <c r="G5" s="26">
        <v>100</v>
      </c>
    </row>
    <row r="6" spans="1:7" ht="100.8" x14ac:dyDescent="0.3">
      <c r="A6" s="94" t="s">
        <v>59</v>
      </c>
      <c r="B6" s="22" t="s">
        <v>22</v>
      </c>
      <c r="C6" s="14" t="s">
        <v>23</v>
      </c>
      <c r="D6" s="14"/>
      <c r="E6" s="14" t="s">
        <v>24</v>
      </c>
      <c r="F6" s="14"/>
      <c r="G6" s="14" t="s">
        <v>25</v>
      </c>
    </row>
    <row r="7" spans="1:7" ht="115.2" customHeight="1" x14ac:dyDescent="0.3">
      <c r="A7" s="94" t="s">
        <v>60</v>
      </c>
      <c r="B7" s="23" t="s">
        <v>166</v>
      </c>
      <c r="C7" s="16" t="s">
        <v>167</v>
      </c>
      <c r="D7" s="16"/>
      <c r="E7" s="42"/>
      <c r="F7" s="16"/>
      <c r="G7" s="16" t="s">
        <v>168</v>
      </c>
    </row>
    <row r="8" spans="1:7" ht="132" customHeight="1" x14ac:dyDescent="0.3">
      <c r="A8" s="94" t="s">
        <v>61</v>
      </c>
      <c r="B8" s="23" t="s">
        <v>26</v>
      </c>
      <c r="C8" s="16" t="s">
        <v>27</v>
      </c>
      <c r="D8" s="16"/>
      <c r="E8" s="16" t="s">
        <v>28</v>
      </c>
      <c r="F8" s="16"/>
      <c r="G8" s="16" t="s">
        <v>29</v>
      </c>
    </row>
    <row r="9" spans="1:7" ht="133.80000000000001" customHeight="1" x14ac:dyDescent="0.3">
      <c r="A9" s="94" t="s">
        <v>62</v>
      </c>
      <c r="B9" s="24" t="s">
        <v>171</v>
      </c>
      <c r="C9" s="21" t="s">
        <v>30</v>
      </c>
      <c r="D9" s="21"/>
      <c r="E9" s="21" t="s">
        <v>31</v>
      </c>
      <c r="F9" s="21"/>
      <c r="G9" s="21" t="s">
        <v>32</v>
      </c>
    </row>
    <row r="10" spans="1:7" ht="115.2" customHeight="1" x14ac:dyDescent="0.3">
      <c r="A10" s="94" t="s">
        <v>63</v>
      </c>
      <c r="B10" s="24" t="s">
        <v>169</v>
      </c>
      <c r="C10" s="21" t="s">
        <v>170</v>
      </c>
      <c r="D10" s="21"/>
      <c r="E10" s="21" t="s">
        <v>33</v>
      </c>
      <c r="F10" s="21"/>
      <c r="G10" s="21" t="s">
        <v>34</v>
      </c>
    </row>
    <row r="11" spans="1:7" ht="137.4" customHeight="1" x14ac:dyDescent="0.3">
      <c r="A11" s="95" t="s">
        <v>64</v>
      </c>
      <c r="B11" s="32" t="s">
        <v>35</v>
      </c>
      <c r="C11" s="31" t="s">
        <v>136</v>
      </c>
      <c r="D11" s="31"/>
      <c r="E11" s="31"/>
      <c r="F11" s="31"/>
      <c r="G11" s="31" t="s">
        <v>137</v>
      </c>
    </row>
    <row r="14" spans="1:7" x14ac:dyDescent="0.3">
      <c r="A14" s="26" t="s">
        <v>6</v>
      </c>
      <c r="B14" s="20" t="s">
        <v>174</v>
      </c>
      <c r="C14" s="18"/>
      <c r="D14" s="18"/>
      <c r="E14" s="18"/>
      <c r="F14" s="18"/>
      <c r="G14" s="18"/>
    </row>
    <row r="15" spans="1:7" x14ac:dyDescent="0.3">
      <c r="A15" s="18"/>
      <c r="B15" s="18"/>
      <c r="C15" s="18"/>
      <c r="D15" s="18"/>
      <c r="E15" s="18"/>
      <c r="F15" s="18"/>
      <c r="G15" s="18"/>
    </row>
    <row r="16" spans="1:7" x14ac:dyDescent="0.3">
      <c r="A16" s="18"/>
      <c r="B16" s="18"/>
      <c r="C16" s="92" t="s">
        <v>20</v>
      </c>
      <c r="D16" s="92"/>
      <c r="E16" s="92"/>
      <c r="F16" s="92"/>
      <c r="G16" s="92"/>
    </row>
    <row r="17" spans="1:7" x14ac:dyDescent="0.3">
      <c r="A17" s="26" t="s">
        <v>8</v>
      </c>
      <c r="B17" s="26" t="s">
        <v>21</v>
      </c>
      <c r="C17" s="26">
        <v>0</v>
      </c>
      <c r="D17" s="26">
        <v>25</v>
      </c>
      <c r="E17" s="26">
        <v>50</v>
      </c>
      <c r="F17" s="26">
        <v>75</v>
      </c>
      <c r="G17" s="26">
        <v>100</v>
      </c>
    </row>
    <row r="18" spans="1:7" ht="121.8" customHeight="1" x14ac:dyDescent="0.3">
      <c r="A18" s="50" t="s">
        <v>175</v>
      </c>
      <c r="B18" s="51" t="s">
        <v>199</v>
      </c>
      <c r="C18" s="51" t="s">
        <v>198</v>
      </c>
      <c r="D18" s="51"/>
      <c r="E18" s="51" t="s">
        <v>197</v>
      </c>
      <c r="F18" s="51"/>
      <c r="G18" s="51" t="s">
        <v>203</v>
      </c>
    </row>
    <row r="19" spans="1:7" ht="111" customHeight="1" x14ac:dyDescent="0.3">
      <c r="A19" s="50" t="s">
        <v>176</v>
      </c>
      <c r="B19" s="51" t="s">
        <v>200</v>
      </c>
      <c r="C19" s="51" t="s">
        <v>202</v>
      </c>
      <c r="D19" s="51"/>
      <c r="E19" s="51" t="s">
        <v>201</v>
      </c>
      <c r="F19" s="51"/>
      <c r="G19" s="51" t="s">
        <v>203</v>
      </c>
    </row>
    <row r="20" spans="1:7" ht="93" customHeight="1" x14ac:dyDescent="0.3">
      <c r="A20" s="50" t="s">
        <v>177</v>
      </c>
      <c r="B20" s="51" t="s">
        <v>187</v>
      </c>
      <c r="C20" s="51" t="s">
        <v>188</v>
      </c>
      <c r="D20" s="51"/>
      <c r="E20" s="51" t="s">
        <v>189</v>
      </c>
      <c r="F20" s="51"/>
      <c r="G20" s="51" t="s">
        <v>190</v>
      </c>
    </row>
    <row r="21" spans="1:7" ht="77.400000000000006" customHeight="1" x14ac:dyDescent="0.3">
      <c r="A21" s="50" t="s">
        <v>178</v>
      </c>
      <c r="B21" s="51" t="s">
        <v>191</v>
      </c>
      <c r="C21" s="51" t="s">
        <v>192</v>
      </c>
      <c r="D21" s="51"/>
      <c r="E21" s="51" t="s">
        <v>193</v>
      </c>
      <c r="F21" s="51"/>
      <c r="G21" s="51" t="s">
        <v>194</v>
      </c>
    </row>
    <row r="22" spans="1:7" ht="97.8" customHeight="1" x14ac:dyDescent="0.3">
      <c r="A22" s="50" t="s">
        <v>179</v>
      </c>
      <c r="B22" s="51" t="s">
        <v>204</v>
      </c>
      <c r="C22" s="51" t="s">
        <v>205</v>
      </c>
      <c r="D22" s="51"/>
      <c r="E22" s="51" t="s">
        <v>206</v>
      </c>
      <c r="F22" s="51"/>
      <c r="G22" s="51" t="s">
        <v>207</v>
      </c>
    </row>
    <row r="23" spans="1:7" ht="64.8" customHeight="1" x14ac:dyDescent="0.3">
      <c r="A23" s="50" t="s">
        <v>180</v>
      </c>
      <c r="B23" s="51" t="s">
        <v>210</v>
      </c>
      <c r="C23" s="51" t="s">
        <v>208</v>
      </c>
      <c r="D23" s="96"/>
      <c r="E23" s="96" t="s">
        <v>209</v>
      </c>
      <c r="F23" s="96"/>
      <c r="G23" s="96" t="s">
        <v>211</v>
      </c>
    </row>
  </sheetData>
  <mergeCells count="2">
    <mergeCell ref="C4:G4"/>
    <mergeCell ref="C16:G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0692-1B10-44E7-87EE-1C891327C72B}">
  <dimension ref="A1:G24"/>
  <sheetViews>
    <sheetView topLeftCell="A6" zoomScale="49" workbookViewId="0">
      <selection activeCell="I7" sqref="I7"/>
    </sheetView>
  </sheetViews>
  <sheetFormatPr defaultRowHeight="14.4" x14ac:dyDescent="0.3"/>
  <cols>
    <col min="1" max="2" width="35.6640625" customWidth="1"/>
    <col min="3" max="7" width="25.6640625" customWidth="1"/>
  </cols>
  <sheetData>
    <row r="1" spans="1:7" x14ac:dyDescent="0.3">
      <c r="A1" s="26" t="s">
        <v>3</v>
      </c>
      <c r="B1" s="20" t="s">
        <v>15</v>
      </c>
      <c r="C1" s="18"/>
      <c r="D1" s="18"/>
      <c r="E1" s="18"/>
      <c r="F1" s="18"/>
      <c r="G1" s="18"/>
    </row>
    <row r="2" spans="1:7" x14ac:dyDescent="0.3">
      <c r="A2" s="26" t="s">
        <v>6</v>
      </c>
      <c r="B2" s="20" t="s">
        <v>17</v>
      </c>
      <c r="C2" s="15"/>
      <c r="D2" s="15"/>
      <c r="E2" s="15"/>
      <c r="F2" s="15"/>
      <c r="G2" s="15"/>
    </row>
    <row r="3" spans="1:7" x14ac:dyDescent="0.3">
      <c r="A3" s="18"/>
      <c r="B3" s="18"/>
      <c r="C3" s="15"/>
      <c r="D3" s="15"/>
      <c r="E3" s="15"/>
      <c r="F3" s="15"/>
      <c r="G3" s="15"/>
    </row>
    <row r="4" spans="1:7" x14ac:dyDescent="0.3">
      <c r="A4" s="18"/>
      <c r="B4" s="18"/>
      <c r="C4" s="93" t="s">
        <v>20</v>
      </c>
      <c r="D4" s="93"/>
      <c r="E4" s="93"/>
      <c r="F4" s="93"/>
      <c r="G4" s="93"/>
    </row>
    <row r="5" spans="1:7" x14ac:dyDescent="0.3">
      <c r="A5" s="26" t="s">
        <v>8</v>
      </c>
      <c r="B5" s="26" t="s">
        <v>21</v>
      </c>
      <c r="C5" s="27">
        <v>0</v>
      </c>
      <c r="D5" s="27">
        <v>25</v>
      </c>
      <c r="E5" s="27">
        <v>50</v>
      </c>
      <c r="F5" s="27">
        <v>75</v>
      </c>
      <c r="G5" s="27">
        <v>100</v>
      </c>
    </row>
    <row r="6" spans="1:7" ht="50.25" customHeight="1" x14ac:dyDescent="0.3">
      <c r="A6" s="33" t="s">
        <v>65</v>
      </c>
      <c r="B6" s="22" t="s">
        <v>140</v>
      </c>
      <c r="C6" s="14" t="s">
        <v>138</v>
      </c>
      <c r="D6" s="14"/>
      <c r="E6" s="14"/>
      <c r="F6" s="14"/>
      <c r="G6" s="14" t="s">
        <v>139</v>
      </c>
    </row>
    <row r="7" spans="1:7" ht="81" customHeight="1" x14ac:dyDescent="0.3">
      <c r="A7" s="33" t="s">
        <v>66</v>
      </c>
      <c r="B7" s="22" t="s">
        <v>132</v>
      </c>
      <c r="C7" s="14" t="s">
        <v>133</v>
      </c>
      <c r="D7" s="14"/>
      <c r="E7" s="14" t="s">
        <v>134</v>
      </c>
      <c r="F7" s="14"/>
      <c r="G7" s="14" t="s">
        <v>36</v>
      </c>
    </row>
    <row r="8" spans="1:7" ht="50.25" customHeight="1" x14ac:dyDescent="0.3">
      <c r="A8" s="33" t="s">
        <v>67</v>
      </c>
      <c r="B8" s="23" t="s">
        <v>141</v>
      </c>
      <c r="C8" s="16" t="s">
        <v>142</v>
      </c>
      <c r="D8" s="16"/>
      <c r="E8" s="16"/>
      <c r="F8" s="16"/>
      <c r="G8" s="16" t="s">
        <v>143</v>
      </c>
    </row>
    <row r="9" spans="1:7" ht="28.8" x14ac:dyDescent="0.3">
      <c r="A9" s="33" t="s">
        <v>68</v>
      </c>
      <c r="B9" s="23" t="s">
        <v>144</v>
      </c>
      <c r="C9" s="16" t="s">
        <v>145</v>
      </c>
      <c r="D9" s="16"/>
      <c r="E9" s="16"/>
      <c r="F9" s="16"/>
      <c r="G9" s="16" t="s">
        <v>146</v>
      </c>
    </row>
    <row r="10" spans="1:7" ht="28.8" x14ac:dyDescent="0.3">
      <c r="A10" s="33" t="s">
        <v>148</v>
      </c>
      <c r="B10" s="32" t="s">
        <v>149</v>
      </c>
      <c r="C10" s="31" t="s">
        <v>147</v>
      </c>
      <c r="D10" s="31"/>
      <c r="E10" s="31"/>
      <c r="F10" s="31"/>
      <c r="G10" s="31" t="s">
        <v>151</v>
      </c>
    </row>
    <row r="11" spans="1:7" ht="28.8" x14ac:dyDescent="0.3">
      <c r="A11" s="33" t="s">
        <v>150</v>
      </c>
      <c r="B11" s="32" t="s">
        <v>152</v>
      </c>
      <c r="C11" s="31" t="s">
        <v>153</v>
      </c>
      <c r="D11" s="31"/>
      <c r="E11" s="31"/>
      <c r="F11" s="31"/>
      <c r="G11" s="31" t="s">
        <v>154</v>
      </c>
    </row>
    <row r="12" spans="1:7" ht="86.4" x14ac:dyDescent="0.3">
      <c r="A12" s="33" t="s">
        <v>69</v>
      </c>
      <c r="B12" s="22" t="s">
        <v>155</v>
      </c>
      <c r="C12" s="14" t="s">
        <v>157</v>
      </c>
      <c r="D12" s="14"/>
      <c r="E12" s="14" t="s">
        <v>156</v>
      </c>
      <c r="F12" s="14"/>
      <c r="G12" s="14" t="s">
        <v>158</v>
      </c>
    </row>
    <row r="13" spans="1:7" ht="28.8" x14ac:dyDescent="0.3">
      <c r="A13" s="33" t="s">
        <v>70</v>
      </c>
      <c r="B13" s="44" t="s">
        <v>37</v>
      </c>
      <c r="C13" s="45" t="s">
        <v>38</v>
      </c>
      <c r="D13" s="45"/>
      <c r="E13" s="45"/>
      <c r="F13" s="45"/>
      <c r="G13" s="45" t="s">
        <v>135</v>
      </c>
    </row>
    <row r="14" spans="1:7" ht="43.2" x14ac:dyDescent="0.3">
      <c r="A14" s="43" t="s">
        <v>71</v>
      </c>
      <c r="B14" s="32" t="s">
        <v>159</v>
      </c>
      <c r="C14" s="31" t="s">
        <v>160</v>
      </c>
      <c r="D14" s="31"/>
      <c r="E14" s="31"/>
      <c r="F14" s="31"/>
      <c r="G14" s="31" t="s">
        <v>161</v>
      </c>
    </row>
    <row r="15" spans="1:7" x14ac:dyDescent="0.3">
      <c r="A15" s="18"/>
      <c r="B15" s="18"/>
      <c r="C15" s="15"/>
      <c r="D15" s="15"/>
      <c r="E15" s="15"/>
      <c r="F15" s="15"/>
      <c r="G15" s="15"/>
    </row>
    <row r="16" spans="1:7" x14ac:dyDescent="0.3">
      <c r="A16" s="18"/>
      <c r="B16" s="18"/>
      <c r="C16" s="15"/>
      <c r="D16" s="15"/>
      <c r="E16" s="15"/>
      <c r="F16" s="15"/>
      <c r="G16" s="15"/>
    </row>
    <row r="17" spans="1:7" x14ac:dyDescent="0.3">
      <c r="C17" s="15"/>
      <c r="D17" s="15"/>
      <c r="E17" s="15"/>
      <c r="F17" s="15"/>
      <c r="G17" s="15"/>
    </row>
    <row r="18" spans="1:7" x14ac:dyDescent="0.3">
      <c r="A18" s="26" t="s">
        <v>6</v>
      </c>
      <c r="B18" s="20" t="s">
        <v>113</v>
      </c>
      <c r="C18" s="15"/>
      <c r="D18" s="15"/>
      <c r="E18" s="15"/>
      <c r="F18" s="15"/>
      <c r="G18" s="15"/>
    </row>
    <row r="19" spans="1:7" x14ac:dyDescent="0.3">
      <c r="A19" s="18"/>
      <c r="B19" s="18"/>
      <c r="C19" s="15"/>
      <c r="D19" s="15"/>
      <c r="E19" s="15"/>
      <c r="F19" s="15"/>
      <c r="G19" s="15"/>
    </row>
    <row r="20" spans="1:7" x14ac:dyDescent="0.3">
      <c r="A20" s="18"/>
      <c r="B20" s="18"/>
      <c r="C20" s="93" t="s">
        <v>20</v>
      </c>
      <c r="D20" s="93"/>
      <c r="E20" s="93"/>
      <c r="F20" s="93"/>
      <c r="G20" s="93"/>
    </row>
    <row r="21" spans="1:7" x14ac:dyDescent="0.3">
      <c r="A21" s="26" t="s">
        <v>8</v>
      </c>
      <c r="B21" s="26" t="s">
        <v>21</v>
      </c>
      <c r="C21" s="27">
        <v>0</v>
      </c>
      <c r="D21" s="27">
        <v>25</v>
      </c>
      <c r="E21" s="27">
        <v>50</v>
      </c>
      <c r="F21" s="27">
        <v>75</v>
      </c>
      <c r="G21" s="27">
        <v>100</v>
      </c>
    </row>
    <row r="22" spans="1:7" ht="57.75" customHeight="1" x14ac:dyDescent="0.3">
      <c r="A22" s="34" t="s">
        <v>72</v>
      </c>
      <c r="B22" s="29" t="s">
        <v>40</v>
      </c>
      <c r="C22" s="14" t="s">
        <v>41</v>
      </c>
      <c r="D22" s="30"/>
      <c r="E22" s="30" t="s">
        <v>42</v>
      </c>
      <c r="F22" s="30"/>
      <c r="G22" s="30" t="s">
        <v>43</v>
      </c>
    </row>
    <row r="23" spans="1:7" ht="50.25" customHeight="1" x14ac:dyDescent="0.3">
      <c r="A23" s="34" t="s">
        <v>73</v>
      </c>
      <c r="B23" s="23" t="s">
        <v>44</v>
      </c>
      <c r="C23" s="16" t="s">
        <v>45</v>
      </c>
      <c r="D23" s="16"/>
      <c r="E23" s="16" t="s">
        <v>46</v>
      </c>
      <c r="F23" s="16"/>
      <c r="G23" s="16" t="s">
        <v>47</v>
      </c>
    </row>
    <row r="24" spans="1:7" ht="65.400000000000006" customHeight="1" x14ac:dyDescent="0.3">
      <c r="A24" s="34" t="s">
        <v>74</v>
      </c>
      <c r="B24" s="32" t="s">
        <v>162</v>
      </c>
      <c r="C24" s="31" t="s">
        <v>163</v>
      </c>
      <c r="D24" s="31"/>
      <c r="E24" s="31" t="s">
        <v>164</v>
      </c>
      <c r="F24" s="31"/>
      <c r="G24" s="31" t="s">
        <v>165</v>
      </c>
    </row>
  </sheetData>
  <mergeCells count="2">
    <mergeCell ref="C4:G4"/>
    <mergeCell ref="C20:G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3AB6-11FA-4A9C-AF62-1AB11EA938BC}">
  <dimension ref="A1:L18"/>
  <sheetViews>
    <sheetView topLeftCell="A6" zoomScale="84" workbookViewId="0">
      <selection activeCell="E10" sqref="E10"/>
    </sheetView>
  </sheetViews>
  <sheetFormatPr defaultRowHeight="14.4" x14ac:dyDescent="0.3"/>
  <cols>
    <col min="1" max="2" width="35.6640625" customWidth="1"/>
    <col min="3" max="7" width="25.6640625" customWidth="1"/>
    <col min="12" max="12" width="10.88671875" customWidth="1"/>
    <col min="14" max="14" width="65.109375" customWidth="1"/>
  </cols>
  <sheetData>
    <row r="1" spans="1:12" x14ac:dyDescent="0.3">
      <c r="A1" s="13" t="s">
        <v>3</v>
      </c>
      <c r="B1" s="11" t="s">
        <v>39</v>
      </c>
    </row>
    <row r="2" spans="1:12" x14ac:dyDescent="0.3">
      <c r="A2" s="13" t="s">
        <v>6</v>
      </c>
      <c r="B2" s="11" t="s">
        <v>75</v>
      </c>
    </row>
    <row r="4" spans="1:12" x14ac:dyDescent="0.3">
      <c r="C4" s="90" t="s">
        <v>20</v>
      </c>
      <c r="D4" s="90"/>
      <c r="E4" s="90"/>
      <c r="F4" s="90"/>
      <c r="G4" s="90"/>
      <c r="I4" s="25"/>
      <c r="K4" s="25"/>
      <c r="L4" s="25"/>
    </row>
    <row r="5" spans="1:12" x14ac:dyDescent="0.3">
      <c r="A5" s="12" t="s">
        <v>8</v>
      </c>
      <c r="B5" s="12" t="s">
        <v>21</v>
      </c>
      <c r="C5" s="12">
        <v>0</v>
      </c>
      <c r="D5" s="12">
        <v>25</v>
      </c>
      <c r="E5" s="12">
        <v>50</v>
      </c>
      <c r="F5" s="12">
        <v>75</v>
      </c>
      <c r="G5" s="12">
        <v>100</v>
      </c>
      <c r="I5" s="25"/>
      <c r="K5" s="25"/>
      <c r="L5" s="25"/>
    </row>
    <row r="6" spans="1:12" ht="105" customHeight="1" x14ac:dyDescent="0.3">
      <c r="A6" s="39" t="s">
        <v>76</v>
      </c>
      <c r="B6" s="29" t="s">
        <v>114</v>
      </c>
      <c r="C6" s="30" t="s">
        <v>115</v>
      </c>
      <c r="D6" s="30"/>
      <c r="E6" s="30"/>
      <c r="F6" s="30"/>
      <c r="G6" s="30" t="s">
        <v>116</v>
      </c>
      <c r="I6" s="25"/>
      <c r="K6" s="25"/>
      <c r="L6" s="25"/>
    </row>
    <row r="7" spans="1:12" ht="85.2" customHeight="1" x14ac:dyDescent="0.3">
      <c r="A7" s="46" t="s">
        <v>77</v>
      </c>
      <c r="B7" s="32" t="s">
        <v>117</v>
      </c>
      <c r="C7" s="31" t="s">
        <v>121</v>
      </c>
      <c r="D7" s="31"/>
      <c r="E7" s="31" t="s">
        <v>122</v>
      </c>
      <c r="F7" s="31"/>
      <c r="G7" s="31" t="s">
        <v>123</v>
      </c>
      <c r="I7" s="25"/>
      <c r="K7" s="25"/>
      <c r="L7" s="25"/>
    </row>
    <row r="8" spans="1:12" ht="85.2" customHeight="1" x14ac:dyDescent="0.3">
      <c r="A8" s="97" t="s">
        <v>181</v>
      </c>
      <c r="B8" s="32" t="s">
        <v>212</v>
      </c>
      <c r="C8" s="31" t="s">
        <v>214</v>
      </c>
      <c r="D8" s="31" t="s">
        <v>216</v>
      </c>
      <c r="E8" s="31" t="s">
        <v>215</v>
      </c>
      <c r="F8" s="31" t="s">
        <v>217</v>
      </c>
      <c r="G8" s="31" t="s">
        <v>218</v>
      </c>
      <c r="I8" s="25"/>
      <c r="K8" s="25"/>
      <c r="L8" s="25"/>
    </row>
    <row r="9" spans="1:12" ht="85.2" customHeight="1" x14ac:dyDescent="0.3">
      <c r="A9" s="97" t="s">
        <v>182</v>
      </c>
      <c r="B9" s="32" t="s">
        <v>213</v>
      </c>
      <c r="C9" s="31" t="s">
        <v>219</v>
      </c>
      <c r="D9" s="31"/>
      <c r="E9" s="31" t="s">
        <v>220</v>
      </c>
      <c r="F9" s="31"/>
      <c r="G9" s="31" t="s">
        <v>221</v>
      </c>
      <c r="I9" s="25"/>
      <c r="K9" s="25"/>
      <c r="L9" s="25"/>
    </row>
    <row r="10" spans="1:12" ht="61.2" customHeight="1" x14ac:dyDescent="0.3">
      <c r="A10" s="46" t="s">
        <v>81</v>
      </c>
      <c r="B10" s="32" t="s">
        <v>118</v>
      </c>
      <c r="C10" s="31" t="s">
        <v>119</v>
      </c>
      <c r="D10" s="31"/>
      <c r="E10" s="31"/>
      <c r="F10" s="31"/>
      <c r="G10" s="31" t="s">
        <v>120</v>
      </c>
      <c r="I10" s="25"/>
      <c r="K10" s="25"/>
      <c r="L10" s="25"/>
    </row>
    <row r="11" spans="1:12" x14ac:dyDescent="0.3">
      <c r="I11" s="25"/>
      <c r="K11" s="25"/>
      <c r="L11" s="25"/>
    </row>
    <row r="13" spans="1:12" x14ac:dyDescent="0.3">
      <c r="A13" s="13" t="s">
        <v>6</v>
      </c>
      <c r="B13" s="11" t="s">
        <v>78</v>
      </c>
    </row>
    <row r="15" spans="1:12" x14ac:dyDescent="0.3">
      <c r="C15" s="90" t="s">
        <v>20</v>
      </c>
      <c r="D15" s="90"/>
      <c r="E15" s="90"/>
      <c r="F15" s="90"/>
      <c r="G15" s="90"/>
    </row>
    <row r="16" spans="1:12" x14ac:dyDescent="0.3">
      <c r="A16" s="12" t="s">
        <v>8</v>
      </c>
      <c r="B16" s="12" t="s">
        <v>21</v>
      </c>
      <c r="C16" s="12">
        <v>0</v>
      </c>
      <c r="D16" s="12">
        <v>25</v>
      </c>
      <c r="E16" s="12">
        <v>50</v>
      </c>
      <c r="F16" s="12">
        <v>75</v>
      </c>
      <c r="G16" s="12">
        <v>100</v>
      </c>
    </row>
    <row r="17" spans="1:7" ht="78" customHeight="1" x14ac:dyDescent="0.3">
      <c r="A17" s="40" t="s">
        <v>79</v>
      </c>
      <c r="B17" s="22" t="s">
        <v>124</v>
      </c>
      <c r="C17" s="14" t="s">
        <v>125</v>
      </c>
      <c r="D17" s="14"/>
      <c r="E17" s="14" t="s">
        <v>126</v>
      </c>
      <c r="F17" s="14"/>
      <c r="G17" s="14" t="s">
        <v>127</v>
      </c>
    </row>
    <row r="18" spans="1:7" ht="93" customHeight="1" x14ac:dyDescent="0.3">
      <c r="A18" s="40" t="s">
        <v>80</v>
      </c>
      <c r="B18" s="23" t="s">
        <v>128</v>
      </c>
      <c r="C18" s="16" t="s">
        <v>129</v>
      </c>
      <c r="D18" s="16"/>
      <c r="E18" s="16" t="s">
        <v>130</v>
      </c>
      <c r="F18" s="16"/>
      <c r="G18" s="16" t="s">
        <v>131</v>
      </c>
    </row>
  </sheetData>
  <mergeCells count="2">
    <mergeCell ref="C15:G15"/>
    <mergeCell ref="C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890A-9AA6-452B-B874-BE12BA0158FA}">
  <dimension ref="A1:A3"/>
  <sheetViews>
    <sheetView workbookViewId="0"/>
  </sheetViews>
  <sheetFormatPr defaultRowHeight="14.4" x14ac:dyDescent="0.3"/>
  <sheetData>
    <row r="1" spans="1:1" x14ac:dyDescent="0.3">
      <c r="A1" s="1" t="s">
        <v>48</v>
      </c>
    </row>
    <row r="2" spans="1:1" x14ac:dyDescent="0.3">
      <c r="A2" s="1" t="s">
        <v>49</v>
      </c>
    </row>
    <row r="3" spans="1:1" x14ac:dyDescent="0.3">
      <c r="A3" s="1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20e9f7-cbb1-411e-829f-01bfc3d576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31B7998274774382A22C62733972BB" ma:contentTypeVersion="15" ma:contentTypeDescription="Create a new document." ma:contentTypeScope="" ma:versionID="6ba4ec26dae0bd94b235ca4859c1f021">
  <xsd:schema xmlns:xsd="http://www.w3.org/2001/XMLSchema" xmlns:xs="http://www.w3.org/2001/XMLSchema" xmlns:p="http://schemas.microsoft.com/office/2006/metadata/properties" xmlns:ns3="2e20e9f7-cbb1-411e-829f-01bfc3d57671" xmlns:ns4="e4c3ede9-6491-4f00-85e5-9d8590a0e907" targetNamespace="http://schemas.microsoft.com/office/2006/metadata/properties" ma:root="true" ma:fieldsID="885cb0315f88ff3e2c1de22c1886ac5b" ns3:_="" ns4:_="">
    <xsd:import namespace="2e20e9f7-cbb1-411e-829f-01bfc3d57671"/>
    <xsd:import namespace="e4c3ede9-6491-4f00-85e5-9d8590a0e9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0e9f7-cbb1-411e-829f-01bfc3d576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3ede9-6491-4f00-85e5-9d8590a0e9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8F117B-627C-405D-B175-B7E1A25B6565}">
  <ds:schemaRefs>
    <ds:schemaRef ds:uri="http://purl.org/dc/terms/"/>
    <ds:schemaRef ds:uri="http://www.w3.org/XML/1998/namespace"/>
    <ds:schemaRef ds:uri="http://schemas.microsoft.com/office/2006/documentManagement/types"/>
    <ds:schemaRef ds:uri="2e20e9f7-cbb1-411e-829f-01bfc3d57671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4c3ede9-6491-4f00-85e5-9d8590a0e907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64C2B33-6AFD-41E8-AB3C-E7C7E1B31A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5E875B-EFD0-44F0-A41E-B4C0093B27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20e9f7-cbb1-411e-829f-01bfc3d57671"/>
    <ds:schemaRef ds:uri="e4c3ede9-6491-4f00-85e5-9d8590a0e9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QEF</vt:lpstr>
      <vt:lpstr>Functionality</vt:lpstr>
      <vt:lpstr>Accessibility</vt:lpstr>
      <vt:lpstr>Aesthetic</vt:lpstr>
      <vt:lpstr>Usability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Escudeiro</dc:creator>
  <cp:keywords/>
  <dc:description/>
  <cp:lastModifiedBy>João Oliveira (1191457)</cp:lastModifiedBy>
  <cp:revision/>
  <dcterms:created xsi:type="dcterms:W3CDTF">2006-09-16T00:00:00Z</dcterms:created>
  <dcterms:modified xsi:type="dcterms:W3CDTF">2023-12-01T20:36:16Z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0x0101000931B7998274774382A22C62733972BB</vt:lpwstr>
  </property>
  <property fmtid="{D5CDD505-2E9C-101B-9397-08002B2CF9AE}" pid="3" name="MediaServiceImageTags">
    <vt:lpwstr/>
  </property>
</Properties>
</file>