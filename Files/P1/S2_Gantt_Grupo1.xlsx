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antt" sheetId="1" state="visible" r:id="rId3"/>
    <sheet name="Responsáveis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<sst xmlns="http://schemas.openxmlformats.org/spreadsheetml/2006/main" count="103" uniqueCount="62">
  <si>
    <t xml:space="preserve">P1 — MOOC "Cuidar em Crise" (Grupo 1) · Gantt inicial (S2) · Plataforma: Udemy</t>
  </si>
  <si>
    <t xml:space="preserve">Datas = PL às terças; cada etapa submete no Moodle até ao início da PL seguinte. Editar só colunas B–E (azul); as barras são calculadas.</t>
  </si>
  <si>
    <t xml:space="preserve">S2</t>
  </si>
  <si>
    <t xml:space="preserve">S3</t>
  </si>
  <si>
    <t xml:space="preserve">S4</t>
  </si>
  <si>
    <t xml:space="preserve">S5</t>
  </si>
  <si>
    <t xml:space="preserve">S6</t>
  </si>
  <si>
    <t xml:space="preserve">S7</t>
  </si>
  <si>
    <t xml:space="preserve">S8</t>
  </si>
  <si>
    <t xml:space="preserve">Tarefa</t>
  </si>
  <si>
    <t xml:space="preserve">Etapa</t>
  </si>
  <si>
    <t xml:space="preserve">Responsável</t>
  </si>
  <si>
    <t xml:space="preserve">Início</t>
  </si>
  <si>
    <t xml:space="preserve">Fim (entrega)</t>
  </si>
  <si>
    <t xml:space="preserve">Escolha do tema e enquadramento (2 pág.)</t>
  </si>
  <si>
    <t xml:space="preserve">Todos</t>
  </si>
  <si>
    <t xml:space="preserve">Pesquisa de MOOCs existentes e diferenciação</t>
  </si>
  <si>
    <t xml:space="preserve">Evandro Carvalho</t>
  </si>
  <si>
    <t xml:space="preserve">Proposta de plataforma (base S1)</t>
  </si>
  <si>
    <t xml:space="preserve">Rodrigo Silva</t>
  </si>
  <si>
    <t xml:space="preserve">Gantt inicial e coordenação</t>
  </si>
  <si>
    <t xml:space="preserve">Bruno Lopes</t>
  </si>
  <si>
    <t xml:space="preserve">MOOC Template: objetivos, sequência, guião por lição</t>
  </si>
  <si>
    <t xml:space="preserve">Todos (cada um a sua lição)</t>
  </si>
  <si>
    <t xml:space="preserve">Coerência entre lições e objetivos globais</t>
  </si>
  <si>
    <t xml:space="preserve">Escolha e autorização do espaço Matterport</t>
  </si>
  <si>
    <t xml:space="preserve">Tiago Teixeira</t>
  </si>
  <si>
    <t xml:space="preserve">Captura Matterport (casa e espaço de acolhimento)</t>
  </si>
  <si>
    <t xml:space="preserve">Guiões e storyboards</t>
  </si>
  <si>
    <t xml:space="preserve">Identidade visual comum (paleta, tipografia, modelos)</t>
  </si>
  <si>
    <t xml:space="preserve">Ricardo Ferreira</t>
  </si>
  <si>
    <t xml:space="preserve">Conta de instrutor e página do curso na Udemy</t>
  </si>
  <si>
    <t xml:space="preserve">Produção de media (vídeo, imagem, som)</t>
  </si>
  <si>
    <t xml:space="preserve">S4–S5</t>
  </si>
  <si>
    <t xml:space="preserve">Vídeos da visita 3D e pontos de interesse</t>
  </si>
  <si>
    <t xml:space="preserve">Quizzes de avaliação por lição</t>
  </si>
  <si>
    <t xml:space="preserve">Protótipo das lições + teste entre colegas (SUS)</t>
  </si>
  <si>
    <t xml:space="preserve">Upload e integração das lições na Udemy</t>
  </si>
  <si>
    <t xml:space="preserve">Navegação e esquema de funcionamento</t>
  </si>
  <si>
    <t xml:space="preserve">Legendas e acessibilidade</t>
  </si>
  <si>
    <t xml:space="preserve">Submissão para revisão de qualidade da Udemy</t>
  </si>
  <si>
    <t xml:space="preserve">S6–S7</t>
  </si>
  <si>
    <t xml:space="preserve">Testes com público-alvo (cuidadores)</t>
  </si>
  <si>
    <t xml:space="preserve">Correções e melhorias</t>
  </si>
  <si>
    <t xml:space="preserve">Relatório final e análise das diretrizes da Udemy</t>
  </si>
  <si>
    <t xml:space="preserve">S7–S8</t>
  </si>
  <si>
    <t xml:space="preserve">Entrega final + apresentação presencial</t>
  </si>
  <si>
    <t xml:space="preserve">Legenda: barra azul = semana ativa · ◆ laranja = marco · azul = editável. Responsáveis por tarefa são proposta, a confirmar pela equipa.</t>
  </si>
  <si>
    <t xml:space="preserve">Lições (proposta): L1 Bruno · L2 Tiago · L3 Rodrigo · L4 Ricardo · L5 Evandro.</t>
  </si>
  <si>
    <t xml:space="preserve">Elemento</t>
  </si>
  <si>
    <t xml:space="preserve">Lição</t>
  </si>
  <si>
    <t xml:space="preserve">Papel transversal</t>
  </si>
  <si>
    <t xml:space="preserve">L1 Crise, demência e quem cuida</t>
  </si>
  <si>
    <t xml:space="preserve">Coordenação, Gantt, documentação</t>
  </si>
  <si>
    <t xml:space="preserve">L2 Preparar antes</t>
  </si>
  <si>
    <t xml:space="preserve">Captura e gestão do Matterport</t>
  </si>
  <si>
    <t xml:space="preserve">L3 Primeiro contacto: acalmar</t>
  </si>
  <si>
    <t xml:space="preserve">Udemy: conta, página do curso, integração e revisão</t>
  </si>
  <si>
    <t xml:space="preserve">L4 Necessidades e encaminhamento</t>
  </si>
  <si>
    <t xml:space="preserve">Identidade visual, acessibilidade</t>
  </si>
  <si>
    <t xml:space="preserve">L5 Depois da crise</t>
  </si>
  <si>
    <t xml:space="preserve">Pesquisa de MOOCs, testes (SUS, público-alvo)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</si>
</sst>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"/>
    <numFmt numFmtId="166" formatCode="dd/mm/yyyy"/>
    <numFmt numFmtId="167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1F4E79"/>
      <name val="Arial"/>
      <family val="0"/>
      <charset val="1"/>
    </font>
    <font>
      <i val="true"/>
      <sz val="9"/>
      <name val="Arial"/>
      <family val="0"/>
      <charset val="1"/>
    </font>
    <font>
      <sz val="11"/>
      <color rgb="FF00000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color rgb="FF5B9BD5"/>
      </font>
      <fill>
        <patternFill>
          <bgColor rgb="FF5B9BD5"/>
        </patternFill>
      </fill>
    </dxf>
    <dxf>
      <fill>
        <patternFill>
          <bgColor rgb="FFF4B183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4B183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8"/>
    <col collapsed="false" customWidth="true" hidden="false" outlineLevel="0" max="3" min="3" style="1" width="28"/>
    <col collapsed="false" customWidth="true" hidden="false" outlineLevel="0" max="4" min="4" style="1" width="12"/>
    <col collapsed="false" customWidth="true" hidden="false" outlineLevel="0" max="5" min="5" style="1" width="13"/>
    <col collapsed="false" customWidth="true" hidden="false" outlineLevel="0" max="12" min="6" style="1" width="8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4"/>
      <c r="B3" s="4"/>
      <c r="C3" s="4"/>
      <c r="D3" s="4"/>
      <c r="E3" s="4"/>
      <c r="F3" s="4" t="s">
        <v>2</v>
      </c>
      <c r="G3" s="4" t="s">
        <v>3</v>
      </c>
      <c r="H3" s="4" t="s">
        <v>4</v>
      </c>
      <c r="I3" s="4" t="s">
        <v>5</v>
      </c>
      <c r="J3" s="4" t="s">
        <v>6</v>
      </c>
      <c r="K3" s="4" t="s">
        <v>7</v>
      </c>
      <c r="L3" s="4" t="s">
        <v>8</v>
      </c>
    </row>
    <row r="4" customFormat="false" ht="15" hidden="false" customHeight="true" outlineLevel="0" collapsed="false">
      <c r="A4" s="4" t="s">
        <v>9</v>
      </c>
      <c r="B4" s="4" t="s">
        <v>10</v>
      </c>
      <c r="C4" s="4" t="s">
        <v>11</v>
      </c>
      <c r="D4" s="4" t="s">
        <v>12</v>
      </c>
      <c r="E4" s="4" t="s">
        <v>13</v>
      </c>
      <c r="F4" s="5" t="n">
        <v>46294</v>
      </c>
      <c r="G4" s="5" t="n">
        <v>46301</v>
      </c>
      <c r="H4" s="5" t="n">
        <v>46308</v>
      </c>
      <c r="I4" s="5" t="n">
        <v>46315</v>
      </c>
      <c r="J4" s="5" t="n">
        <v>46322</v>
      </c>
      <c r="K4" s="5" t="n">
        <v>46329</v>
      </c>
      <c r="L4" s="5" t="n">
        <v>46336</v>
      </c>
    </row>
    <row r="5" customFormat="false" ht="15" hidden="false" customHeight="true" outlineLevel="0" collapsed="false">
      <c r="A5" s="6" t="s">
        <v>14</v>
      </c>
      <c r="B5" s="7" t="s">
        <v>2</v>
      </c>
      <c r="C5" s="7" t="s">
        <v>15</v>
      </c>
      <c r="D5" s="8" t="n">
        <v>46294</v>
      </c>
      <c r="E5" s="8" t="n">
        <v>46301</v>
      </c>
      <c r="F5" s="9" t="n">
        <f aca="false">IF(OR(AND($D5&lt;=F$4+6,$E5&gt;F$4),AND($D5=$E5,$D5=F$4)),IF($D5=$E5,"◆",1),"")</f>
        <v>1</v>
      </c>
      <c r="G5" s="9" t="str">
        <f aca="false">IF(OR(AND($D5&lt;=G$4+6,$E5&gt;G$4),AND($D5=$E5,$D5=G$4)),IF($D5=$E5,"◆",1),"")</f>
        <v/>
      </c>
      <c r="H5" s="9" t="str">
        <f aca="false">IF(OR(AND($D5&lt;=H$4+6,$E5&gt;H$4),AND($D5=$E5,$D5=H$4)),IF($D5=$E5,"◆",1),"")</f>
        <v/>
      </c>
      <c r="I5" s="9" t="str">
        <f aca="false">IF(OR(AND($D5&lt;=I$4+6,$E5&gt;I$4),AND($D5=$E5,$D5=I$4)),IF($D5=$E5,"◆",1),"")</f>
        <v/>
      </c>
      <c r="J5" s="9" t="str">
        <f aca="false">IF(OR(AND($D5&lt;=J$4+6,$E5&gt;J$4),AND($D5=$E5,$D5=J$4)),IF($D5=$E5,"◆",1),"")</f>
        <v/>
      </c>
      <c r="K5" s="9" t="str">
        <f aca="false">IF(OR(AND($D5&lt;=K$4+6,$E5&gt;K$4),AND($D5=$E5,$D5=K$4)),IF($D5=$E5,"◆",1),"")</f>
        <v/>
      </c>
      <c r="L5" s="9" t="str">
        <f aca="false">IF(OR(AND($D5&lt;=L$4+6,$E5&gt;L$4),AND($D5=$E5,$D5=L$4)),IF($D5=$E5,"◆",1),"")</f>
        <v/>
      </c>
    </row>
    <row r="6" customFormat="false" ht="15" hidden="false" customHeight="true" outlineLevel="0" collapsed="false">
      <c r="A6" s="6" t="s">
        <v>16</v>
      </c>
      <c r="B6" s="7" t="s">
        <v>2</v>
      </c>
      <c r="C6" s="7" t="s">
        <v>17</v>
      </c>
      <c r="D6" s="8" t="n">
        <v>46294</v>
      </c>
      <c r="E6" s="8" t="n">
        <v>46301</v>
      </c>
      <c r="F6" s="9" t="n">
        <f aca="false">IF(OR(AND($D6&lt;=F$4+6,$E6&gt;F$4),AND($D6=$E6,$D6=F$4)),IF($D6=$E6,"◆",1),"")</f>
        <v>1</v>
      </c>
      <c r="G6" s="9" t="str">
        <f aca="false">IF(OR(AND($D6&lt;=G$4+6,$E6&gt;G$4),AND($D6=$E6,$D6=G$4)),IF($D6=$E6,"◆",1),"")</f>
        <v/>
      </c>
      <c r="H6" s="9" t="str">
        <f aca="false">IF(OR(AND($D6&lt;=H$4+6,$E6&gt;H$4),AND($D6=$E6,$D6=H$4)),IF($D6=$E6,"◆",1),"")</f>
        <v/>
      </c>
      <c r="I6" s="9" t="str">
        <f aca="false">IF(OR(AND($D6&lt;=I$4+6,$E6&gt;I$4),AND($D6=$E6,$D6=I$4)),IF($D6=$E6,"◆",1),"")</f>
        <v/>
      </c>
      <c r="J6" s="9" t="str">
        <f aca="false">IF(OR(AND($D6&lt;=J$4+6,$E6&gt;J$4),AND($D6=$E6,$D6=J$4)),IF($D6=$E6,"◆",1),"")</f>
        <v/>
      </c>
      <c r="K6" s="9" t="str">
        <f aca="false">IF(OR(AND($D6&lt;=K$4+6,$E6&gt;K$4),AND($D6=$E6,$D6=K$4)),IF($D6=$E6,"◆",1),"")</f>
        <v/>
      </c>
      <c r="L6" s="9" t="str">
        <f aca="false">IF(OR(AND($D6&lt;=L$4+6,$E6&gt;L$4),AND($D6=$E6,$D6=L$4)),IF($D6=$E6,"◆",1),"")</f>
        <v/>
      </c>
    </row>
    <row r="7" customFormat="false" ht="15" hidden="false" customHeight="true" outlineLevel="0" collapsed="false">
      <c r="A7" s="6" t="s">
        <v>18</v>
      </c>
      <c r="B7" s="7" t="s">
        <v>2</v>
      </c>
      <c r="C7" s="7" t="s">
        <v>19</v>
      </c>
      <c r="D7" s="8" t="n">
        <v>46294</v>
      </c>
      <c r="E7" s="8" t="n">
        <v>46301</v>
      </c>
      <c r="F7" s="9" t="n">
        <f aca="false">IF(OR(AND($D7&lt;=F$4+6,$E7&gt;F$4),AND($D7=$E7,$D7=F$4)),IF($D7=$E7,"◆",1),"")</f>
        <v>1</v>
      </c>
      <c r="G7" s="9" t="str">
        <f aca="false">IF(OR(AND($D7&lt;=G$4+6,$E7&gt;G$4),AND($D7=$E7,$D7=G$4)),IF($D7=$E7,"◆",1),"")</f>
        <v/>
      </c>
      <c r="H7" s="9" t="str">
        <f aca="false">IF(OR(AND($D7&lt;=H$4+6,$E7&gt;H$4),AND($D7=$E7,$D7=H$4)),IF($D7=$E7,"◆",1),"")</f>
        <v/>
      </c>
      <c r="I7" s="9" t="str">
        <f aca="false">IF(OR(AND($D7&lt;=I$4+6,$E7&gt;I$4),AND($D7=$E7,$D7=I$4)),IF($D7=$E7,"◆",1),"")</f>
        <v/>
      </c>
      <c r="J7" s="9" t="str">
        <f aca="false">IF(OR(AND($D7&lt;=J$4+6,$E7&gt;J$4),AND($D7=$E7,$D7=J$4)),IF($D7=$E7,"◆",1),"")</f>
        <v/>
      </c>
      <c r="K7" s="9" t="str">
        <f aca="false">IF(OR(AND($D7&lt;=K$4+6,$E7&gt;K$4),AND($D7=$E7,$D7=K$4)),IF($D7=$E7,"◆",1),"")</f>
        <v/>
      </c>
      <c r="L7" s="9" t="str">
        <f aca="false">IF(OR(AND($D7&lt;=L$4+6,$E7&gt;L$4),AND($D7=$E7,$D7=L$4)),IF($D7=$E7,"◆",1),"")</f>
        <v/>
      </c>
    </row>
    <row r="8" customFormat="false" ht="15" hidden="false" customHeight="true" outlineLevel="0" collapsed="false">
      <c r="A8" s="6" t="s">
        <v>20</v>
      </c>
      <c r="B8" s="7" t="s">
        <v>2</v>
      </c>
      <c r="C8" s="7" t="s">
        <v>21</v>
      </c>
      <c r="D8" s="8" t="n">
        <v>46294</v>
      </c>
      <c r="E8" s="8" t="n">
        <v>46301</v>
      </c>
      <c r="F8" s="9" t="n">
        <f aca="false">IF(OR(AND($D8&lt;=F$4+6,$E8&gt;F$4),AND($D8=$E8,$D8=F$4)),IF($D8=$E8,"◆",1),"")</f>
        <v>1</v>
      </c>
      <c r="G8" s="9" t="str">
        <f aca="false">IF(OR(AND($D8&lt;=G$4+6,$E8&gt;G$4),AND($D8=$E8,$D8=G$4)),IF($D8=$E8,"◆",1),"")</f>
        <v/>
      </c>
      <c r="H8" s="9" t="str">
        <f aca="false">IF(OR(AND($D8&lt;=H$4+6,$E8&gt;H$4),AND($D8=$E8,$D8=H$4)),IF($D8=$E8,"◆",1),"")</f>
        <v/>
      </c>
      <c r="I8" s="9" t="str">
        <f aca="false">IF(OR(AND($D8&lt;=I$4+6,$E8&gt;I$4),AND($D8=$E8,$D8=I$4)),IF($D8=$E8,"◆",1),"")</f>
        <v/>
      </c>
      <c r="J8" s="9" t="str">
        <f aca="false">IF(OR(AND($D8&lt;=J$4+6,$E8&gt;J$4),AND($D8=$E8,$D8=J$4)),IF($D8=$E8,"◆",1),"")</f>
        <v/>
      </c>
      <c r="K8" s="9" t="str">
        <f aca="false">IF(OR(AND($D8&lt;=K$4+6,$E8&gt;K$4),AND($D8=$E8,$D8=K$4)),IF($D8=$E8,"◆",1),"")</f>
        <v/>
      </c>
      <c r="L8" s="9" t="str">
        <f aca="false">IF(OR(AND($D8&lt;=L$4+6,$E8&gt;L$4),AND($D8=$E8,$D8=L$4)),IF($D8=$E8,"◆",1),"")</f>
        <v/>
      </c>
    </row>
    <row r="9" customFormat="false" ht="15" hidden="false" customHeight="true" outlineLevel="0" collapsed="false">
      <c r="A9" s="6" t="s">
        <v>22</v>
      </c>
      <c r="B9" s="7" t="s">
        <v>3</v>
      </c>
      <c r="C9" s="7" t="s">
        <v>23</v>
      </c>
      <c r="D9" s="8" t="n">
        <v>46301</v>
      </c>
      <c r="E9" s="8" t="n">
        <v>46308</v>
      </c>
      <c r="F9" s="9" t="str">
        <f aca="false">IF(OR(AND($D9&lt;=F$4+6,$E9&gt;F$4),AND($D9=$E9,$D9=F$4)),IF($D9=$E9,"◆",1),"")</f>
        <v/>
      </c>
      <c r="G9" s="9" t="n">
        <f aca="false">IF(OR(AND($D9&lt;=G$4+6,$E9&gt;G$4),AND($D9=$E9,$D9=G$4)),IF($D9=$E9,"◆",1),"")</f>
        <v>1</v>
      </c>
      <c r="H9" s="9" t="str">
        <f aca="false">IF(OR(AND($D9&lt;=H$4+6,$E9&gt;H$4),AND($D9=$E9,$D9=H$4)),IF($D9=$E9,"◆",1),"")</f>
        <v/>
      </c>
      <c r="I9" s="9" t="str">
        <f aca="false">IF(OR(AND($D9&lt;=I$4+6,$E9&gt;I$4),AND($D9=$E9,$D9=I$4)),IF($D9=$E9,"◆",1),"")</f>
        <v/>
      </c>
      <c r="J9" s="9" t="str">
        <f aca="false">IF(OR(AND($D9&lt;=J$4+6,$E9&gt;J$4),AND($D9=$E9,$D9=J$4)),IF($D9=$E9,"◆",1),"")</f>
        <v/>
      </c>
      <c r="K9" s="9" t="str">
        <f aca="false">IF(OR(AND($D9&lt;=K$4+6,$E9&gt;K$4),AND($D9=$E9,$D9=K$4)),IF($D9=$E9,"◆",1),"")</f>
        <v/>
      </c>
      <c r="L9" s="9" t="str">
        <f aca="false">IF(OR(AND($D9&lt;=L$4+6,$E9&gt;L$4),AND($D9=$E9,$D9=L$4)),IF($D9=$E9,"◆",1),"")</f>
        <v/>
      </c>
    </row>
    <row r="10" customFormat="false" ht="15" hidden="false" customHeight="true" outlineLevel="0" collapsed="false">
      <c r="A10" s="6" t="s">
        <v>24</v>
      </c>
      <c r="B10" s="7" t="s">
        <v>3</v>
      </c>
      <c r="C10" s="7" t="s">
        <v>21</v>
      </c>
      <c r="D10" s="8" t="n">
        <v>46301</v>
      </c>
      <c r="E10" s="8" t="n">
        <v>46308</v>
      </c>
      <c r="F10" s="9" t="str">
        <f aca="false">IF(OR(AND($D10&lt;=F$4+6,$E10&gt;F$4),AND($D10=$E10,$D10=F$4)),IF($D10=$E10,"◆",1),"")</f>
        <v/>
      </c>
      <c r="G10" s="9" t="n">
        <f aca="false">IF(OR(AND($D10&lt;=G$4+6,$E10&gt;G$4),AND($D10=$E10,$D10=G$4)),IF($D10=$E10,"◆",1),"")</f>
        <v>1</v>
      </c>
      <c r="H10" s="9" t="str">
        <f aca="false">IF(OR(AND($D10&lt;=H$4+6,$E10&gt;H$4),AND($D10=$E10,$D10=H$4)),IF($D10=$E10,"◆",1),"")</f>
        <v/>
      </c>
      <c r="I10" s="9" t="str">
        <f aca="false">IF(OR(AND($D10&lt;=I$4+6,$E10&gt;I$4),AND($D10=$E10,$D10=I$4)),IF($D10=$E10,"◆",1),"")</f>
        <v/>
      </c>
      <c r="J10" s="9" t="str">
        <f aca="false">IF(OR(AND($D10&lt;=J$4+6,$E10&gt;J$4),AND($D10=$E10,$D10=J$4)),IF($D10=$E10,"◆",1),"")</f>
        <v/>
      </c>
      <c r="K10" s="9" t="str">
        <f aca="false">IF(OR(AND($D10&lt;=K$4+6,$E10&gt;K$4),AND($D10=$E10,$D10=K$4)),IF($D10=$E10,"◆",1),"")</f>
        <v/>
      </c>
      <c r="L10" s="9" t="str">
        <f aca="false">IF(OR(AND($D10&lt;=L$4+6,$E10&gt;L$4),AND($D10=$E10,$D10=L$4)),IF($D10=$E10,"◆",1),"")</f>
        <v/>
      </c>
    </row>
    <row r="11" customFormat="false" ht="15" hidden="false" customHeight="true" outlineLevel="0" collapsed="false">
      <c r="A11" s="6" t="s">
        <v>25</v>
      </c>
      <c r="B11" s="7" t="s">
        <v>3</v>
      </c>
      <c r="C11" s="7" t="s">
        <v>26</v>
      </c>
      <c r="D11" s="8" t="n">
        <v>46301</v>
      </c>
      <c r="E11" s="8" t="n">
        <v>46308</v>
      </c>
      <c r="F11" s="9" t="str">
        <f aca="false">IF(OR(AND($D11&lt;=F$4+6,$E11&gt;F$4),AND($D11=$E11,$D11=F$4)),IF($D11=$E11,"◆",1),"")</f>
        <v/>
      </c>
      <c r="G11" s="9" t="n">
        <f aca="false">IF(OR(AND($D11&lt;=G$4+6,$E11&gt;G$4),AND($D11=$E11,$D11=G$4)),IF($D11=$E11,"◆",1),"")</f>
        <v>1</v>
      </c>
      <c r="H11" s="9" t="str">
        <f aca="false">IF(OR(AND($D11&lt;=H$4+6,$E11&gt;H$4),AND($D11=$E11,$D11=H$4)),IF($D11=$E11,"◆",1),"")</f>
        <v/>
      </c>
      <c r="I11" s="9" t="str">
        <f aca="false">IF(OR(AND($D11&lt;=I$4+6,$E11&gt;I$4),AND($D11=$E11,$D11=I$4)),IF($D11=$E11,"◆",1),"")</f>
        <v/>
      </c>
      <c r="J11" s="9" t="str">
        <f aca="false">IF(OR(AND($D11&lt;=J$4+6,$E11&gt;J$4),AND($D11=$E11,$D11=J$4)),IF($D11=$E11,"◆",1),"")</f>
        <v/>
      </c>
      <c r="K11" s="9" t="str">
        <f aca="false">IF(OR(AND($D11&lt;=K$4+6,$E11&gt;K$4),AND($D11=$E11,$D11=K$4)),IF($D11=$E11,"◆",1),"")</f>
        <v/>
      </c>
      <c r="L11" s="9" t="str">
        <f aca="false">IF(OR(AND($D11&lt;=L$4+6,$E11&gt;L$4),AND($D11=$E11,$D11=L$4)),IF($D11=$E11,"◆",1),"")</f>
        <v/>
      </c>
    </row>
    <row r="12" customFormat="false" ht="15" hidden="false" customHeight="true" outlineLevel="0" collapsed="false">
      <c r="A12" s="6" t="s">
        <v>27</v>
      </c>
      <c r="B12" s="7" t="s">
        <v>4</v>
      </c>
      <c r="C12" s="7" t="s">
        <v>26</v>
      </c>
      <c r="D12" s="8" t="n">
        <v>46308</v>
      </c>
      <c r="E12" s="8" t="n">
        <v>46315</v>
      </c>
      <c r="F12" s="9" t="str">
        <f aca="false">IF(OR(AND($D12&lt;=F$4+6,$E12&gt;F$4),AND($D12=$E12,$D12=F$4)),IF($D12=$E12,"◆",1),"")</f>
        <v/>
      </c>
      <c r="G12" s="9" t="str">
        <f aca="false">IF(OR(AND($D12&lt;=G$4+6,$E12&gt;G$4),AND($D12=$E12,$D12=G$4)),IF($D12=$E12,"◆",1),"")</f>
        <v/>
      </c>
      <c r="H12" s="9" t="n">
        <f aca="false">IF(OR(AND($D12&lt;=H$4+6,$E12&gt;H$4),AND($D12=$E12,$D12=H$4)),IF($D12=$E12,"◆",1),"")</f>
        <v>1</v>
      </c>
      <c r="I12" s="9" t="str">
        <f aca="false">IF(OR(AND($D12&lt;=I$4+6,$E12&gt;I$4),AND($D12=$E12,$D12=I$4)),IF($D12=$E12,"◆",1),"")</f>
        <v/>
      </c>
      <c r="J12" s="9" t="str">
        <f aca="false">IF(OR(AND($D12&lt;=J$4+6,$E12&gt;J$4),AND($D12=$E12,$D12=J$4)),IF($D12=$E12,"◆",1),"")</f>
        <v/>
      </c>
      <c r="K12" s="9" t="str">
        <f aca="false">IF(OR(AND($D12&lt;=K$4+6,$E12&gt;K$4),AND($D12=$E12,$D12=K$4)),IF($D12=$E12,"◆",1),"")</f>
        <v/>
      </c>
      <c r="L12" s="9" t="str">
        <f aca="false">IF(OR(AND($D12&lt;=L$4+6,$E12&gt;L$4),AND($D12=$E12,$D12=L$4)),IF($D12=$E12,"◆",1),"")</f>
        <v/>
      </c>
    </row>
    <row r="13" customFormat="false" ht="15" hidden="false" customHeight="true" outlineLevel="0" collapsed="false">
      <c r="A13" s="6" t="s">
        <v>28</v>
      </c>
      <c r="B13" s="7" t="s">
        <v>4</v>
      </c>
      <c r="C13" s="7" t="s">
        <v>23</v>
      </c>
      <c r="D13" s="8" t="n">
        <v>46308</v>
      </c>
      <c r="E13" s="8" t="n">
        <v>46315</v>
      </c>
      <c r="F13" s="9" t="str">
        <f aca="false">IF(OR(AND($D13&lt;=F$4+6,$E13&gt;F$4),AND($D13=$E13,$D13=F$4)),IF($D13=$E13,"◆",1),"")</f>
        <v/>
      </c>
      <c r="G13" s="9" t="str">
        <f aca="false">IF(OR(AND($D13&lt;=G$4+6,$E13&gt;G$4),AND($D13=$E13,$D13=G$4)),IF($D13=$E13,"◆",1),"")</f>
        <v/>
      </c>
      <c r="H13" s="9" t="n">
        <f aca="false">IF(OR(AND($D13&lt;=H$4+6,$E13&gt;H$4),AND($D13=$E13,$D13=H$4)),IF($D13=$E13,"◆",1),"")</f>
        <v>1</v>
      </c>
      <c r="I13" s="9" t="str">
        <f aca="false">IF(OR(AND($D13&lt;=I$4+6,$E13&gt;I$4),AND($D13=$E13,$D13=I$4)),IF($D13=$E13,"◆",1),"")</f>
        <v/>
      </c>
      <c r="J13" s="9" t="str">
        <f aca="false">IF(OR(AND($D13&lt;=J$4+6,$E13&gt;J$4),AND($D13=$E13,$D13=J$4)),IF($D13=$E13,"◆",1),"")</f>
        <v/>
      </c>
      <c r="K13" s="9" t="str">
        <f aca="false">IF(OR(AND($D13&lt;=K$4+6,$E13&gt;K$4),AND($D13=$E13,$D13=K$4)),IF($D13=$E13,"◆",1),"")</f>
        <v/>
      </c>
      <c r="L13" s="9" t="str">
        <f aca="false">IF(OR(AND($D13&lt;=L$4+6,$E13&gt;L$4),AND($D13=$E13,$D13=L$4)),IF($D13=$E13,"◆",1),"")</f>
        <v/>
      </c>
    </row>
    <row r="14" customFormat="false" ht="15" hidden="false" customHeight="true" outlineLevel="0" collapsed="false">
      <c r="A14" s="6" t="s">
        <v>29</v>
      </c>
      <c r="B14" s="7" t="s">
        <v>4</v>
      </c>
      <c r="C14" s="7" t="s">
        <v>30</v>
      </c>
      <c r="D14" s="8" t="n">
        <v>46308</v>
      </c>
      <c r="E14" s="8" t="n">
        <v>46315</v>
      </c>
      <c r="F14" s="9" t="str">
        <f aca="false">IF(OR(AND($D14&lt;=F$4+6,$E14&gt;F$4),AND($D14=$E14,$D14=F$4)),IF($D14=$E14,"◆",1),"")</f>
        <v/>
      </c>
      <c r="G14" s="9" t="str">
        <f aca="false">IF(OR(AND($D14&lt;=G$4+6,$E14&gt;G$4),AND($D14=$E14,$D14=G$4)),IF($D14=$E14,"◆",1),"")</f>
        <v/>
      </c>
      <c r="H14" s="9" t="n">
        <f aca="false">IF(OR(AND($D14&lt;=H$4+6,$E14&gt;H$4),AND($D14=$E14,$D14=H$4)),IF($D14=$E14,"◆",1),"")</f>
        <v>1</v>
      </c>
      <c r="I14" s="9" t="str">
        <f aca="false">IF(OR(AND($D14&lt;=I$4+6,$E14&gt;I$4),AND($D14=$E14,$D14=I$4)),IF($D14=$E14,"◆",1),"")</f>
        <v/>
      </c>
      <c r="J14" s="9" t="str">
        <f aca="false">IF(OR(AND($D14&lt;=J$4+6,$E14&gt;J$4),AND($D14=$E14,$D14=J$4)),IF($D14=$E14,"◆",1),"")</f>
        <v/>
      </c>
      <c r="K14" s="9" t="str">
        <f aca="false">IF(OR(AND($D14&lt;=K$4+6,$E14&gt;K$4),AND($D14=$E14,$D14=K$4)),IF($D14=$E14,"◆",1),"")</f>
        <v/>
      </c>
      <c r="L14" s="9" t="str">
        <f aca="false">IF(OR(AND($D14&lt;=L$4+6,$E14&gt;L$4),AND($D14=$E14,$D14=L$4)),IF($D14=$E14,"◆",1),"")</f>
        <v/>
      </c>
    </row>
    <row r="15" customFormat="false" ht="15" hidden="false" customHeight="true" outlineLevel="0" collapsed="false">
      <c r="A15" s="6" t="s">
        <v>31</v>
      </c>
      <c r="B15" s="7" t="s">
        <v>4</v>
      </c>
      <c r="C15" s="7" t="s">
        <v>19</v>
      </c>
      <c r="D15" s="8" t="n">
        <v>46308</v>
      </c>
      <c r="E15" s="8" t="n">
        <v>46315</v>
      </c>
      <c r="F15" s="9" t="str">
        <f aca="false">IF(OR(AND($D15&lt;=F$4+6,$E15&gt;F$4),AND($D15=$E15,$D15=F$4)),IF($D15=$E15,"◆",1),"")</f>
        <v/>
      </c>
      <c r="G15" s="9" t="str">
        <f aca="false">IF(OR(AND($D15&lt;=G$4+6,$E15&gt;G$4),AND($D15=$E15,$D15=G$4)),IF($D15=$E15,"◆",1),"")</f>
        <v/>
      </c>
      <c r="H15" s="9" t="n">
        <f aca="false">IF(OR(AND($D15&lt;=H$4+6,$E15&gt;H$4),AND($D15=$E15,$D15=H$4)),IF($D15=$E15,"◆",1),"")</f>
        <v>1</v>
      </c>
      <c r="I15" s="9" t="str">
        <f aca="false">IF(OR(AND($D15&lt;=I$4+6,$E15&gt;I$4),AND($D15=$E15,$D15=I$4)),IF($D15=$E15,"◆",1),"")</f>
        <v/>
      </c>
      <c r="J15" s="9" t="str">
        <f aca="false">IF(OR(AND($D15&lt;=J$4+6,$E15&gt;J$4),AND($D15=$E15,$D15=J$4)),IF($D15=$E15,"◆",1),"")</f>
        <v/>
      </c>
      <c r="K15" s="9" t="str">
        <f aca="false">IF(OR(AND($D15&lt;=K$4+6,$E15&gt;K$4),AND($D15=$E15,$D15=K$4)),IF($D15=$E15,"◆",1),"")</f>
        <v/>
      </c>
      <c r="L15" s="9" t="str">
        <f aca="false">IF(OR(AND($D15&lt;=L$4+6,$E15&gt;L$4),AND($D15=$E15,$D15=L$4)),IF($D15=$E15,"◆",1),"")</f>
        <v/>
      </c>
    </row>
    <row r="16" customFormat="false" ht="15" hidden="false" customHeight="true" outlineLevel="0" collapsed="false">
      <c r="A16" s="6" t="s">
        <v>32</v>
      </c>
      <c r="B16" s="7" t="s">
        <v>33</v>
      </c>
      <c r="C16" s="7" t="s">
        <v>23</v>
      </c>
      <c r="D16" s="8" t="n">
        <v>46308</v>
      </c>
      <c r="E16" s="8" t="n">
        <v>46322</v>
      </c>
      <c r="F16" s="9" t="str">
        <f aca="false">IF(OR(AND($D16&lt;=F$4+6,$E16&gt;F$4),AND($D16=$E16,$D16=F$4)),IF($D16=$E16,"◆",1),"")</f>
        <v/>
      </c>
      <c r="G16" s="9" t="str">
        <f aca="false">IF(OR(AND($D16&lt;=G$4+6,$E16&gt;G$4),AND($D16=$E16,$D16=G$4)),IF($D16=$E16,"◆",1),"")</f>
        <v/>
      </c>
      <c r="H16" s="9" t="n">
        <f aca="false">IF(OR(AND($D16&lt;=H$4+6,$E16&gt;H$4),AND($D16=$E16,$D16=H$4)),IF($D16=$E16,"◆",1),"")</f>
        <v>1</v>
      </c>
      <c r="I16" s="9" t="n">
        <f aca="false">IF(OR(AND($D16&lt;=I$4+6,$E16&gt;I$4),AND($D16=$E16,$D16=I$4)),IF($D16=$E16,"◆",1),"")</f>
        <v>1</v>
      </c>
      <c r="J16" s="9" t="str">
        <f aca="false">IF(OR(AND($D16&lt;=J$4+6,$E16&gt;J$4),AND($D16=$E16,$D16=J$4)),IF($D16=$E16,"◆",1),"")</f>
        <v/>
      </c>
      <c r="K16" s="9" t="str">
        <f aca="false">IF(OR(AND($D16&lt;=K$4+6,$E16&gt;K$4),AND($D16=$E16,$D16=K$4)),IF($D16=$E16,"◆",1),"")</f>
        <v/>
      </c>
      <c r="L16" s="9" t="str">
        <f aca="false">IF(OR(AND($D16&lt;=L$4+6,$E16&gt;L$4),AND($D16=$E16,$D16=L$4)),IF($D16=$E16,"◆",1),"")</f>
        <v/>
      </c>
    </row>
    <row r="17" customFormat="false" ht="15" hidden="false" customHeight="true" outlineLevel="0" collapsed="false">
      <c r="A17" s="6" t="s">
        <v>34</v>
      </c>
      <c r="B17" s="7" t="s">
        <v>5</v>
      </c>
      <c r="C17" s="7" t="s">
        <v>23</v>
      </c>
      <c r="D17" s="8" t="n">
        <v>46315</v>
      </c>
      <c r="E17" s="8" t="n">
        <v>46322</v>
      </c>
      <c r="F17" s="9" t="str">
        <f aca="false">IF(OR(AND($D17&lt;=F$4+6,$E17&gt;F$4),AND($D17=$E17,$D17=F$4)),IF($D17=$E17,"◆",1),"")</f>
        <v/>
      </c>
      <c r="G17" s="9" t="str">
        <f aca="false">IF(OR(AND($D17&lt;=G$4+6,$E17&gt;G$4),AND($D17=$E17,$D17=G$4)),IF($D17=$E17,"◆",1),"")</f>
        <v/>
      </c>
      <c r="H17" s="9" t="str">
        <f aca="false">IF(OR(AND($D17&lt;=H$4+6,$E17&gt;H$4),AND($D17=$E17,$D17=H$4)),IF($D17=$E17,"◆",1),"")</f>
        <v/>
      </c>
      <c r="I17" s="9" t="n">
        <f aca="false">IF(OR(AND($D17&lt;=I$4+6,$E17&gt;I$4),AND($D17=$E17,$D17=I$4)),IF($D17=$E17,"◆",1),"")</f>
        <v>1</v>
      </c>
      <c r="J17" s="9" t="str">
        <f aca="false">IF(OR(AND($D17&lt;=J$4+6,$E17&gt;J$4),AND($D17=$E17,$D17=J$4)),IF($D17=$E17,"◆",1),"")</f>
        <v/>
      </c>
      <c r="K17" s="9" t="str">
        <f aca="false">IF(OR(AND($D17&lt;=K$4+6,$E17&gt;K$4),AND($D17=$E17,$D17=K$4)),IF($D17=$E17,"◆",1),"")</f>
        <v/>
      </c>
      <c r="L17" s="9" t="str">
        <f aca="false">IF(OR(AND($D17&lt;=L$4+6,$E17&gt;L$4),AND($D17=$E17,$D17=L$4)),IF($D17=$E17,"◆",1),"")</f>
        <v/>
      </c>
    </row>
    <row r="18" customFormat="false" ht="15" hidden="false" customHeight="true" outlineLevel="0" collapsed="false">
      <c r="A18" s="6" t="s">
        <v>35</v>
      </c>
      <c r="B18" s="7" t="s">
        <v>5</v>
      </c>
      <c r="C18" s="7" t="s">
        <v>23</v>
      </c>
      <c r="D18" s="8" t="n">
        <v>46315</v>
      </c>
      <c r="E18" s="8" t="n">
        <v>46322</v>
      </c>
      <c r="F18" s="9" t="str">
        <f aca="false">IF(OR(AND($D18&lt;=F$4+6,$E18&gt;F$4),AND($D18=$E18,$D18=F$4)),IF($D18=$E18,"◆",1),"")</f>
        <v/>
      </c>
      <c r="G18" s="9" t="str">
        <f aca="false">IF(OR(AND($D18&lt;=G$4+6,$E18&gt;G$4),AND($D18=$E18,$D18=G$4)),IF($D18=$E18,"◆",1),"")</f>
        <v/>
      </c>
      <c r="H18" s="9" t="str">
        <f aca="false">IF(OR(AND($D18&lt;=H$4+6,$E18&gt;H$4),AND($D18=$E18,$D18=H$4)),IF($D18=$E18,"◆",1),"")</f>
        <v/>
      </c>
      <c r="I18" s="9" t="n">
        <f aca="false">IF(OR(AND($D18&lt;=I$4+6,$E18&gt;I$4),AND($D18=$E18,$D18=I$4)),IF($D18=$E18,"◆",1),"")</f>
        <v>1</v>
      </c>
      <c r="J18" s="9" t="str">
        <f aca="false">IF(OR(AND($D18&lt;=J$4+6,$E18&gt;J$4),AND($D18=$E18,$D18=J$4)),IF($D18=$E18,"◆",1),"")</f>
        <v/>
      </c>
      <c r="K18" s="9" t="str">
        <f aca="false">IF(OR(AND($D18&lt;=K$4+6,$E18&gt;K$4),AND($D18=$E18,$D18=K$4)),IF($D18=$E18,"◆",1),"")</f>
        <v/>
      </c>
      <c r="L18" s="9" t="str">
        <f aca="false">IF(OR(AND($D18&lt;=L$4+6,$E18&gt;L$4),AND($D18=$E18,$D18=L$4)),IF($D18=$E18,"◆",1),"")</f>
        <v/>
      </c>
    </row>
    <row r="19" customFormat="false" ht="15" hidden="false" customHeight="true" outlineLevel="0" collapsed="false">
      <c r="A19" s="6" t="s">
        <v>36</v>
      </c>
      <c r="B19" s="7" t="s">
        <v>5</v>
      </c>
      <c r="C19" s="7" t="s">
        <v>17</v>
      </c>
      <c r="D19" s="8" t="n">
        <v>46315</v>
      </c>
      <c r="E19" s="8" t="n">
        <v>46322</v>
      </c>
      <c r="F19" s="9" t="str">
        <f aca="false">IF(OR(AND($D19&lt;=F$4+6,$E19&gt;F$4),AND($D19=$E19,$D19=F$4)),IF($D19=$E19,"◆",1),"")</f>
        <v/>
      </c>
      <c r="G19" s="9" t="str">
        <f aca="false">IF(OR(AND($D19&lt;=G$4+6,$E19&gt;G$4),AND($D19=$E19,$D19=G$4)),IF($D19=$E19,"◆",1),"")</f>
        <v/>
      </c>
      <c r="H19" s="9" t="str">
        <f aca="false">IF(OR(AND($D19&lt;=H$4+6,$E19&gt;H$4),AND($D19=$E19,$D19=H$4)),IF($D19=$E19,"◆",1),"")</f>
        <v/>
      </c>
      <c r="I19" s="9" t="n">
        <f aca="false">IF(OR(AND($D19&lt;=I$4+6,$E19&gt;I$4),AND($D19=$E19,$D19=I$4)),IF($D19=$E19,"◆",1),"")</f>
        <v>1</v>
      </c>
      <c r="J19" s="9" t="str">
        <f aca="false">IF(OR(AND($D19&lt;=J$4+6,$E19&gt;J$4),AND($D19=$E19,$D19=J$4)),IF($D19=$E19,"◆",1),"")</f>
        <v/>
      </c>
      <c r="K19" s="9" t="str">
        <f aca="false">IF(OR(AND($D19&lt;=K$4+6,$E19&gt;K$4),AND($D19=$E19,$D19=K$4)),IF($D19=$E19,"◆",1),"")</f>
        <v/>
      </c>
      <c r="L19" s="9" t="str">
        <f aca="false">IF(OR(AND($D19&lt;=L$4+6,$E19&gt;L$4),AND($D19=$E19,$D19=L$4)),IF($D19=$E19,"◆",1),"")</f>
        <v/>
      </c>
    </row>
    <row r="20" customFormat="false" ht="15" hidden="false" customHeight="true" outlineLevel="0" collapsed="false">
      <c r="A20" s="6" t="s">
        <v>37</v>
      </c>
      <c r="B20" s="7" t="s">
        <v>6</v>
      </c>
      <c r="C20" s="7" t="s">
        <v>19</v>
      </c>
      <c r="D20" s="8" t="n">
        <v>46322</v>
      </c>
      <c r="E20" s="8" t="n">
        <v>46329</v>
      </c>
      <c r="F20" s="9" t="str">
        <f aca="false">IF(OR(AND($D20&lt;=F$4+6,$E20&gt;F$4),AND($D20=$E20,$D20=F$4)),IF($D20=$E20,"◆",1),"")</f>
        <v/>
      </c>
      <c r="G20" s="9" t="str">
        <f aca="false">IF(OR(AND($D20&lt;=G$4+6,$E20&gt;G$4),AND($D20=$E20,$D20=G$4)),IF($D20=$E20,"◆",1),"")</f>
        <v/>
      </c>
      <c r="H20" s="9" t="str">
        <f aca="false">IF(OR(AND($D20&lt;=H$4+6,$E20&gt;H$4),AND($D20=$E20,$D20=H$4)),IF($D20=$E20,"◆",1),"")</f>
        <v/>
      </c>
      <c r="I20" s="9" t="str">
        <f aca="false">IF(OR(AND($D20&lt;=I$4+6,$E20&gt;I$4),AND($D20=$E20,$D20=I$4)),IF($D20=$E20,"◆",1),"")</f>
        <v/>
      </c>
      <c r="J20" s="9" t="n">
        <f aca="false">IF(OR(AND($D20&lt;=J$4+6,$E20&gt;J$4),AND($D20=$E20,$D20=J$4)),IF($D20=$E20,"◆",1),"")</f>
        <v>1</v>
      </c>
      <c r="K20" s="9" t="str">
        <f aca="false">IF(OR(AND($D20&lt;=K$4+6,$E20&gt;K$4),AND($D20=$E20,$D20=K$4)),IF($D20=$E20,"◆",1),"")</f>
        <v/>
      </c>
      <c r="L20" s="9" t="str">
        <f aca="false">IF(OR(AND($D20&lt;=L$4+6,$E20&gt;L$4),AND($D20=$E20,$D20=L$4)),IF($D20=$E20,"◆",1),"")</f>
        <v/>
      </c>
    </row>
    <row r="21" customFormat="false" ht="15" hidden="false" customHeight="true" outlineLevel="0" collapsed="false">
      <c r="A21" s="6" t="s">
        <v>38</v>
      </c>
      <c r="B21" s="7" t="s">
        <v>6</v>
      </c>
      <c r="C21" s="7" t="s">
        <v>21</v>
      </c>
      <c r="D21" s="8" t="n">
        <v>46322</v>
      </c>
      <c r="E21" s="8" t="n">
        <v>46329</v>
      </c>
      <c r="F21" s="9" t="str">
        <f aca="false">IF(OR(AND($D21&lt;=F$4+6,$E21&gt;F$4),AND($D21=$E21,$D21=F$4)),IF($D21=$E21,"◆",1),"")</f>
        <v/>
      </c>
      <c r="G21" s="9" t="str">
        <f aca="false">IF(OR(AND($D21&lt;=G$4+6,$E21&gt;G$4),AND($D21=$E21,$D21=G$4)),IF($D21=$E21,"◆",1),"")</f>
        <v/>
      </c>
      <c r="H21" s="9" t="str">
        <f aca="false">IF(OR(AND($D21&lt;=H$4+6,$E21&gt;H$4),AND($D21=$E21,$D21=H$4)),IF($D21=$E21,"◆",1),"")</f>
        <v/>
      </c>
      <c r="I21" s="9" t="str">
        <f aca="false">IF(OR(AND($D21&lt;=I$4+6,$E21&gt;I$4),AND($D21=$E21,$D21=I$4)),IF($D21=$E21,"◆",1),"")</f>
        <v/>
      </c>
      <c r="J21" s="9" t="n">
        <f aca="false">IF(OR(AND($D21&lt;=J$4+6,$E21&gt;J$4),AND($D21=$E21,$D21=J$4)),IF($D21=$E21,"◆",1),"")</f>
        <v>1</v>
      </c>
      <c r="K21" s="9" t="str">
        <f aca="false">IF(OR(AND($D21&lt;=K$4+6,$E21&gt;K$4),AND($D21=$E21,$D21=K$4)),IF($D21=$E21,"◆",1),"")</f>
        <v/>
      </c>
      <c r="L21" s="9" t="str">
        <f aca="false">IF(OR(AND($D21&lt;=L$4+6,$E21&gt;L$4),AND($D21=$E21,$D21=L$4)),IF($D21=$E21,"◆",1),"")</f>
        <v/>
      </c>
    </row>
    <row r="22" customFormat="false" ht="15" hidden="false" customHeight="true" outlineLevel="0" collapsed="false">
      <c r="A22" s="6" t="s">
        <v>39</v>
      </c>
      <c r="B22" s="7" t="s">
        <v>6</v>
      </c>
      <c r="C22" s="7" t="s">
        <v>30</v>
      </c>
      <c r="D22" s="8" t="n">
        <v>46322</v>
      </c>
      <c r="E22" s="8" t="n">
        <v>46329</v>
      </c>
      <c r="F22" s="9" t="str">
        <f aca="false">IF(OR(AND($D22&lt;=F$4+6,$E22&gt;F$4),AND($D22=$E22,$D22=F$4)),IF($D22=$E22,"◆",1),"")</f>
        <v/>
      </c>
      <c r="G22" s="9" t="str">
        <f aca="false">IF(OR(AND($D22&lt;=G$4+6,$E22&gt;G$4),AND($D22=$E22,$D22=G$4)),IF($D22=$E22,"◆",1),"")</f>
        <v/>
      </c>
      <c r="H22" s="9" t="str">
        <f aca="false">IF(OR(AND($D22&lt;=H$4+6,$E22&gt;H$4),AND($D22=$E22,$D22=H$4)),IF($D22=$E22,"◆",1),"")</f>
        <v/>
      </c>
      <c r="I22" s="9" t="str">
        <f aca="false">IF(OR(AND($D22&lt;=I$4+6,$E22&gt;I$4),AND($D22=$E22,$D22=I$4)),IF($D22=$E22,"◆",1),"")</f>
        <v/>
      </c>
      <c r="J22" s="9" t="n">
        <f aca="false">IF(OR(AND($D22&lt;=J$4+6,$E22&gt;J$4),AND($D22=$E22,$D22=J$4)),IF($D22=$E22,"◆",1),"")</f>
        <v>1</v>
      </c>
      <c r="K22" s="9" t="str">
        <f aca="false">IF(OR(AND($D22&lt;=K$4+6,$E22&gt;K$4),AND($D22=$E22,$D22=K$4)),IF($D22=$E22,"◆",1),"")</f>
        <v/>
      </c>
      <c r="L22" s="9" t="str">
        <f aca="false">IF(OR(AND($D22&lt;=L$4+6,$E22&gt;L$4),AND($D22=$E22,$D22=L$4)),IF($D22=$E22,"◆",1),"")</f>
        <v/>
      </c>
    </row>
    <row r="23" customFormat="false" ht="15" hidden="false" customHeight="true" outlineLevel="0" collapsed="false">
      <c r="A23" s="6" t="s">
        <v>40</v>
      </c>
      <c r="B23" s="7" t="s">
        <v>41</v>
      </c>
      <c r="C23" s="7" t="s">
        <v>19</v>
      </c>
      <c r="D23" s="8" t="n">
        <v>46322</v>
      </c>
      <c r="E23" s="8" t="n">
        <v>46336</v>
      </c>
      <c r="F23" s="9" t="str">
        <f aca="false">IF(OR(AND($D23&lt;=F$4+6,$E23&gt;F$4),AND($D23=$E23,$D23=F$4)),IF($D23=$E23,"◆",1),"")</f>
        <v/>
      </c>
      <c r="G23" s="9" t="str">
        <f aca="false">IF(OR(AND($D23&lt;=G$4+6,$E23&gt;G$4),AND($D23=$E23,$D23=G$4)),IF($D23=$E23,"◆",1),"")</f>
        <v/>
      </c>
      <c r="H23" s="9" t="str">
        <f aca="false">IF(OR(AND($D23&lt;=H$4+6,$E23&gt;H$4),AND($D23=$E23,$D23=H$4)),IF($D23=$E23,"◆",1),"")</f>
        <v/>
      </c>
      <c r="I23" s="9" t="str">
        <f aca="false">IF(OR(AND($D23&lt;=I$4+6,$E23&gt;I$4),AND($D23=$E23,$D23=I$4)),IF($D23=$E23,"◆",1),"")</f>
        <v/>
      </c>
      <c r="J23" s="9" t="n">
        <f aca="false">IF(OR(AND($D23&lt;=J$4+6,$E23&gt;J$4),AND($D23=$E23,$D23=J$4)),IF($D23=$E23,"◆",1),"")</f>
        <v>1</v>
      </c>
      <c r="K23" s="9" t="n">
        <f aca="false">IF(OR(AND($D23&lt;=K$4+6,$E23&gt;K$4),AND($D23=$E23,$D23=K$4)),IF($D23=$E23,"◆",1),"")</f>
        <v>1</v>
      </c>
      <c r="L23" s="9" t="str">
        <f aca="false">IF(OR(AND($D23&lt;=L$4+6,$E23&gt;L$4),AND($D23=$E23,$D23=L$4)),IF($D23=$E23,"◆",1),"")</f>
        <v/>
      </c>
    </row>
    <row r="24" customFormat="false" ht="15" hidden="false" customHeight="true" outlineLevel="0" collapsed="false">
      <c r="A24" s="6" t="s">
        <v>42</v>
      </c>
      <c r="B24" s="7" t="s">
        <v>7</v>
      </c>
      <c r="C24" s="7" t="s">
        <v>17</v>
      </c>
      <c r="D24" s="8" t="n">
        <v>46329</v>
      </c>
      <c r="E24" s="8" t="n">
        <v>46336</v>
      </c>
      <c r="F24" s="9" t="str">
        <f aca="false">IF(OR(AND($D24&lt;=F$4+6,$E24&gt;F$4),AND($D24=$E24,$D24=F$4)),IF($D24=$E24,"◆",1),"")</f>
        <v/>
      </c>
      <c r="G24" s="9" t="str">
        <f aca="false">IF(OR(AND($D24&lt;=G$4+6,$E24&gt;G$4),AND($D24=$E24,$D24=G$4)),IF($D24=$E24,"◆",1),"")</f>
        <v/>
      </c>
      <c r="H24" s="9" t="str">
        <f aca="false">IF(OR(AND($D24&lt;=H$4+6,$E24&gt;H$4),AND($D24=$E24,$D24=H$4)),IF($D24=$E24,"◆",1),"")</f>
        <v/>
      </c>
      <c r="I24" s="9" t="str">
        <f aca="false">IF(OR(AND($D24&lt;=I$4+6,$E24&gt;I$4),AND($D24=$E24,$D24=I$4)),IF($D24=$E24,"◆",1),"")</f>
        <v/>
      </c>
      <c r="J24" s="9" t="str">
        <f aca="false">IF(OR(AND($D24&lt;=J$4+6,$E24&gt;J$4),AND($D24=$E24,$D24=J$4)),IF($D24=$E24,"◆",1),"")</f>
        <v/>
      </c>
      <c r="K24" s="9" t="n">
        <f aca="false">IF(OR(AND($D24&lt;=K$4+6,$E24&gt;K$4),AND($D24=$E24,$D24=K$4)),IF($D24=$E24,"◆",1),"")</f>
        <v>1</v>
      </c>
      <c r="L24" s="9" t="str">
        <f aca="false">IF(OR(AND($D24&lt;=L$4+6,$E24&gt;L$4),AND($D24=$E24,$D24=L$4)),IF($D24=$E24,"◆",1),"")</f>
        <v/>
      </c>
    </row>
    <row r="25" customFormat="false" ht="15" hidden="false" customHeight="true" outlineLevel="0" collapsed="false">
      <c r="A25" s="6" t="s">
        <v>43</v>
      </c>
      <c r="B25" s="7" t="s">
        <v>7</v>
      </c>
      <c r="C25" s="7" t="s">
        <v>15</v>
      </c>
      <c r="D25" s="8" t="n">
        <v>46329</v>
      </c>
      <c r="E25" s="8" t="n">
        <v>46336</v>
      </c>
      <c r="F25" s="9" t="str">
        <f aca="false">IF(OR(AND($D25&lt;=F$4+6,$E25&gt;F$4),AND($D25=$E25,$D25=F$4)),IF($D25=$E25,"◆",1),"")</f>
        <v/>
      </c>
      <c r="G25" s="9" t="str">
        <f aca="false">IF(OR(AND($D25&lt;=G$4+6,$E25&gt;G$4),AND($D25=$E25,$D25=G$4)),IF($D25=$E25,"◆",1),"")</f>
        <v/>
      </c>
      <c r="H25" s="9" t="str">
        <f aca="false">IF(OR(AND($D25&lt;=H$4+6,$E25&gt;H$4),AND($D25=$E25,$D25=H$4)),IF($D25=$E25,"◆",1),"")</f>
        <v/>
      </c>
      <c r="I25" s="9" t="str">
        <f aca="false">IF(OR(AND($D25&lt;=I$4+6,$E25&gt;I$4),AND($D25=$E25,$D25=I$4)),IF($D25=$E25,"◆",1),"")</f>
        <v/>
      </c>
      <c r="J25" s="9" t="str">
        <f aca="false">IF(OR(AND($D25&lt;=J$4+6,$E25&gt;J$4),AND($D25=$E25,$D25=J$4)),IF($D25=$E25,"◆",1),"")</f>
        <v/>
      </c>
      <c r="K25" s="9" t="n">
        <f aca="false">IF(OR(AND($D25&lt;=K$4+6,$E25&gt;K$4),AND($D25=$E25,$D25=K$4)),IF($D25=$E25,"◆",1),"")</f>
        <v>1</v>
      </c>
      <c r="L25" s="9" t="str">
        <f aca="false">IF(OR(AND($D25&lt;=L$4+6,$E25&gt;L$4),AND($D25=$E25,$D25=L$4)),IF($D25=$E25,"◆",1),"")</f>
        <v/>
      </c>
    </row>
    <row r="26" customFormat="false" ht="15" hidden="false" customHeight="true" outlineLevel="0" collapsed="false">
      <c r="A26" s="6" t="s">
        <v>44</v>
      </c>
      <c r="B26" s="7" t="s">
        <v>45</v>
      </c>
      <c r="C26" s="7" t="s">
        <v>21</v>
      </c>
      <c r="D26" s="8" t="n">
        <v>46322</v>
      </c>
      <c r="E26" s="8" t="n">
        <v>46336</v>
      </c>
      <c r="F26" s="9" t="str">
        <f aca="false">IF(OR(AND($D26&lt;=F$4+6,$E26&gt;F$4),AND($D26=$E26,$D26=F$4)),IF($D26=$E26,"◆",1),"")</f>
        <v/>
      </c>
      <c r="G26" s="9" t="str">
        <f aca="false">IF(OR(AND($D26&lt;=G$4+6,$E26&gt;G$4),AND($D26=$E26,$D26=G$4)),IF($D26=$E26,"◆",1),"")</f>
        <v/>
      </c>
      <c r="H26" s="9" t="str">
        <f aca="false">IF(OR(AND($D26&lt;=H$4+6,$E26&gt;H$4),AND($D26=$E26,$D26=H$4)),IF($D26=$E26,"◆",1),"")</f>
        <v/>
      </c>
      <c r="I26" s="9" t="str">
        <f aca="false">IF(OR(AND($D26&lt;=I$4+6,$E26&gt;I$4),AND($D26=$E26,$D26=I$4)),IF($D26=$E26,"◆",1),"")</f>
        <v/>
      </c>
      <c r="J26" s="9" t="n">
        <f aca="false">IF(OR(AND($D26&lt;=J$4+6,$E26&gt;J$4),AND($D26=$E26,$D26=J$4)),IF($D26=$E26,"◆",1),"")</f>
        <v>1</v>
      </c>
      <c r="K26" s="9" t="n">
        <f aca="false">IF(OR(AND($D26&lt;=K$4+6,$E26&gt;K$4),AND($D26=$E26,$D26=K$4)),IF($D26=$E26,"◆",1),"")</f>
        <v>1</v>
      </c>
      <c r="L26" s="9" t="str">
        <f aca="false">IF(OR(AND($D26&lt;=L$4+6,$E26&gt;L$4),AND($D26=$E26,$D26=L$4)),IF($D26=$E26,"◆",1),"")</f>
        <v/>
      </c>
    </row>
    <row r="27" customFormat="false" ht="15" hidden="false" customHeight="false" outlineLevel="0" collapsed="false">
      <c r="A27" s="6" t="s">
        <v>46</v>
      </c>
      <c r="B27" s="7" t="s">
        <v>8</v>
      </c>
      <c r="C27" s="7" t="s">
        <v>15</v>
      </c>
      <c r="D27" s="8" t="n">
        <v>46336</v>
      </c>
      <c r="E27" s="8" t="n">
        <v>46336</v>
      </c>
      <c r="F27" s="9" t="str">
        <f aca="false">IF(OR(AND($D27&lt;=F$4+6,$E27&gt;F$4),AND($D27=$E27,$D27=F$4)),IF($D27=$E27,"◆",1),"")</f>
        <v/>
      </c>
      <c r="G27" s="9" t="str">
        <f aca="false">IF(OR(AND($D27&lt;=G$4+6,$E27&gt;G$4),AND($D27=$E27,$D27=G$4)),IF($D27=$E27,"◆",1),"")</f>
        <v/>
      </c>
      <c r="H27" s="9" t="str">
        <f aca="false">IF(OR(AND($D27&lt;=H$4+6,$E27&gt;H$4),AND($D27=$E27,$D27=H$4)),IF($D27=$E27,"◆",1),"")</f>
        <v/>
      </c>
      <c r="I27" s="9" t="str">
        <f aca="false">IF(OR(AND($D27&lt;=I$4+6,$E27&gt;I$4),AND($D27=$E27,$D27=I$4)),IF($D27=$E27,"◆",1),"")</f>
        <v/>
      </c>
      <c r="J27" s="9" t="str">
        <f aca="false">IF(OR(AND($D27&lt;=J$4+6,$E27&gt;J$4),AND($D27=$E27,$D27=J$4)),IF($D27=$E27,"◆",1),"")</f>
        <v/>
      </c>
      <c r="K27" s="9" t="str">
        <f aca="false">IF(OR(AND($D27&lt;=K$4+6,$E27&gt;K$4),AND($D27=$E27,$D27=K$4)),IF($D27=$E27,"◆",1),"")</f>
        <v/>
      </c>
      <c r="L27" s="9" t="str">
        <f aca="false">IF(OR(AND($D27&lt;=L$4+6,$E27&gt;L$4),AND($D27=$E27,$D27=L$4)),IF($D27=$E27,"◆",1),"")</f>
        <v>◆</v>
      </c>
    </row>
    <row r="28" customFormat="false" ht="15" hidden="false" customHeight="true" outlineLevel="0" collapsed="false"/>
    <row r="29" customFormat="false" ht="15" hidden="false" customHeight="true" outlineLevel="0" collapsed="false">
      <c r="A29" s="10" t="s">
        <v>47</v>
      </c>
    </row>
    <row r="30" customFormat="false" ht="15" hidden="false" customHeight="false" outlineLevel="0" collapsed="false">
      <c r="A30" s="10" t="s">
        <v>48</v>
      </c>
    </row>
  </sheetData>
  <conditionalFormatting sqref="F5:L27">
    <cfRule type="expression" priority="2" aboveAverage="0" equalAverage="0" bottom="0" percent="0" rank="0" text="" dxfId="0">
      <formula>F5=1</formula>
    </cfRule>
    <cfRule type="expression" priority="3" aboveAverage="0" equalAverage="0" bottom="0" percent="0" rank="0" text="" dxfId="1">
      <formula>F5="◆"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38"/>
    <col collapsed="false" customWidth="true" hidden="false" outlineLevel="0" max="3" min="3" style="1" width="44"/>
  </cols>
  <sheetData>
    <row r="1" customFormat="false" ht="15" hidden="false" customHeight="true" outlineLevel="0" collapsed="false">
      <c r="A1" s="11" t="s">
        <v>49</v>
      </c>
      <c r="B1" s="11" t="s">
        <v>50</v>
      </c>
      <c r="C1" s="11" t="s">
        <v>51</v>
      </c>
    </row>
    <row r="2" customFormat="false" ht="15" hidden="false" customHeight="true" outlineLevel="0" collapsed="false">
      <c r="A2" s="12" t="s">
        <v>21</v>
      </c>
      <c r="B2" s="12" t="s">
        <v>52</v>
      </c>
      <c r="C2" s="12" t="s">
        <v>53</v>
      </c>
    </row>
    <row r="3" customFormat="false" ht="15" hidden="false" customHeight="true" outlineLevel="0" collapsed="false">
      <c r="A3" s="12" t="s">
        <v>26</v>
      </c>
      <c r="B3" s="12" t="s">
        <v>54</v>
      </c>
      <c r="C3" s="12" t="s">
        <v>55</v>
      </c>
    </row>
    <row r="4" customFormat="false" ht="15" hidden="false" customHeight="true" outlineLevel="0" collapsed="false">
      <c r="A4" s="12" t="s">
        <v>19</v>
      </c>
      <c r="B4" s="12" t="s">
        <v>56</v>
      </c>
      <c r="C4" s="12" t="s">
        <v>57</v>
      </c>
    </row>
    <row r="5" customFormat="false" ht="15" hidden="false" customHeight="true" outlineLevel="0" collapsed="false">
      <c r="A5" s="12" t="s">
        <v>30</v>
      </c>
      <c r="B5" s="12" t="s">
        <v>58</v>
      </c>
      <c r="C5" s="12" t="s">
        <v>59</v>
      </c>
    </row>
    <row r="6" customFormat="false" ht="15" hidden="false" customHeight="true" outlineLevel="0" collapsed="false">
      <c r="A6" s="12" t="s">
        <v>17</v>
      </c>
      <c r="B6" s="12" t="s">
        <v>60</v>
      </c>
      <c r="C6" s="12" t="s">
        <v>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2026-10-01T16:34:39Z</dcterms:created>
  <dc:creator>openpyxl</dc:creator>
  <dc:description/>
  <dc:language>en-US</dc:language>
  <cp:lastModifiedBy/>
  <dcterms:modified xsi:type="dcterms:W3CDTF">2026-10-01T16:58:23Z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