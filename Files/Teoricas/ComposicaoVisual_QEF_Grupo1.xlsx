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estrado-Jogos\CAMUL\CAMUL-2026\Files\Teoricas\"/>
    </mc:Choice>
  </mc:AlternateContent>
  <xr:revisionPtr revIDLastSave="0" documentId="13_ncr:1_{C3B0821B-5117-4118-9117-D0DFCF039B70}" xr6:coauthVersionLast="47" xr6:coauthVersionMax="47" xr10:uidLastSave="{00000000-0000-0000-0000-000000000000}"/>
  <bookViews>
    <workbookView xWindow="-120" yWindow="-120" windowWidth="20730" windowHeight="11160" xr2:uid="{2BE1A5F0-6062-45CC-8E94-69B694959B5C}"/>
  </bookViews>
  <sheets>
    <sheet name="QEF" sheetId="1" r:id="rId1"/>
    <sheet name="Funcionalidade" sheetId="2" r:id="rId2"/>
    <sheet name="Eficiência" sheetId="3" r:id="rId3"/>
    <sheet name="Estética" sheetId="4" r:id="rId4"/>
    <sheet name="Usabilidade" sheetId="5" r:id="rId5"/>
    <sheet name="Nota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2" i="1" l="1"/>
  <c r="E28" i="1"/>
  <c r="E25" i="1"/>
  <c r="E22" i="1"/>
  <c r="E14" i="1"/>
  <c r="E10" i="1"/>
  <c r="C10" i="1" s="1"/>
  <c r="E6" i="1"/>
  <c r="E2" i="1"/>
  <c r="C25" i="1" l="1"/>
  <c r="C2" i="1"/>
  <c r="C14" i="1"/>
  <c r="B2" i="1" l="1"/>
  <c r="A2" i="1" s="1"/>
</calcChain>
</file>

<file path=xl/sharedStrings.xml><?xml version="1.0" encoding="utf-8"?>
<sst xmlns="http://schemas.openxmlformats.org/spreadsheetml/2006/main" count="421" uniqueCount="210">
  <si>
    <t>q (%)</t>
  </si>
  <si>
    <t>D</t>
  </si>
  <si>
    <t>Qi (%)</t>
  </si>
  <si>
    <t>Dimensão</t>
  </si>
  <si>
    <t>Qj (%)</t>
  </si>
  <si>
    <t>Wij</t>
  </si>
  <si>
    <t>Fator</t>
  </si>
  <si>
    <t>Peso</t>
  </si>
  <si>
    <t>Critério</t>
  </si>
  <si>
    <t>Cumprimento (%) 0/25/50/75/100</t>
  </si>
  <si>
    <t>Tipo (G/E)</t>
  </si>
  <si>
    <t>FI1 - O botão «Mostrar regras» liga e desliga as anotações</t>
  </si>
  <si>
    <t>E</t>
  </si>
  <si>
    <t>FI2 - Links e botões levam ao destino certo</t>
  </si>
  <si>
    <t>G</t>
  </si>
  <si>
    <t>FI3 - O botão mostra o seu estado</t>
  </si>
  <si>
    <t>Interação</t>
  </si>
  <si>
    <t>FC1 - Cada marcador explica a regra e onde é aplicada</t>
  </si>
  <si>
    <t>FC2 - Texto sem erros, em português europeu, simples</t>
  </si>
  <si>
    <t>FC3 - Coerente com o MOOC «Cuidar em Crise»</t>
  </si>
  <si>
    <t>FC4 - A página ensina as regras de composição</t>
  </si>
  <si>
    <t>Conteúdo</t>
  </si>
  <si>
    <t>Funcionalidade</t>
  </si>
  <si>
    <t>E01 - Abre num só ficheiro, sem servidor e sem erros</t>
  </si>
  <si>
    <t>E02 - Funciona igual nos browsers mais usados</t>
  </si>
  <si>
    <t>E03 - Carrega depressa</t>
  </si>
  <si>
    <t>E04 - Sem a foto ou sem internet, a página não parte</t>
  </si>
  <si>
    <t>Eficiência</t>
  </si>
  <si>
    <t>EC1 - Regra dos terços</t>
  </si>
  <si>
    <t>EC2 - Hierarquia visual</t>
  </si>
  <si>
    <t>EC3 - Alinhamento</t>
  </si>
  <si>
    <t>EC4 - Ênfase com uma só cor</t>
  </si>
  <si>
    <t>EC5 - Equilíbrio assimétrico e proporção</t>
  </si>
  <si>
    <t>EC6 - Espaço negativo</t>
  </si>
  <si>
    <t>EC7 - Unidade e padrão</t>
  </si>
  <si>
    <t>EC8 - Direção e movimento</t>
  </si>
  <si>
    <t>Composição visual</t>
  </si>
  <si>
    <t>EL1 - Contraste texto/fundo</t>
  </si>
  <si>
    <t>EL2 - Tipografia legível</t>
  </si>
  <si>
    <t>EL3 - Botões e links identificáveis</t>
  </si>
  <si>
    <t>Legibilidade</t>
  </si>
  <si>
    <t>Estética</t>
  </si>
  <si>
    <t>UF1 - Usa-se sem ajuda</t>
  </si>
  <si>
    <t>UF2 - Usa-se depressa</t>
  </si>
  <si>
    <t>UF3 - Satisfação</t>
  </si>
  <si>
    <t>Facilidade de uso</t>
  </si>
  <si>
    <t>UA1 - Usa-se só com o teclado</t>
  </si>
  <si>
    <t>UA2 - Zoom sem perder conteúdo</t>
  </si>
  <si>
    <t>UA3 - A cor não é o único sinal</t>
  </si>
  <si>
    <t>UA4 - Estrutura para leitores de ecrã</t>
  </si>
  <si>
    <t>Acessibilidade</t>
  </si>
  <si>
    <t>UR1 - Funciona em vários ecrãs</t>
  </si>
  <si>
    <t>Responsividade</t>
  </si>
  <si>
    <t>Usabilidade</t>
  </si>
  <si>
    <t>Tipo</t>
  </si>
  <si>
    <t>Medida (unidade)</t>
  </si>
  <si>
    <t>Como testar (instrumento)</t>
  </si>
  <si>
    <t>0–1</t>
  </si>
  <si>
    <t>2</t>
  </si>
  <si>
    <t>3</t>
  </si>
  <si>
    <t>4</t>
  </si>
  <si>
    <t>% de links e botões que levam ao destino certo</t>
  </si>
  <si>
    <t>&lt; 50 %</t>
  </si>
  <si>
    <t>50–74 %</t>
  </si>
  <si>
    <t>75–89 %</t>
  </si>
  <si>
    <t>90–99 %</t>
  </si>
  <si>
    <t>100 %</t>
  </si>
  <si>
    <t>Clicar em todos e contar</t>
  </si>
  <si>
    <t>N.º de sinais de estado, de 3 (o texto muda, o aria-pressed muda, o aspeto muda)</t>
  </si>
  <si>
    <t>0</t>
  </si>
  <si>
    <t/>
  </si>
  <si>
    <t>1</t>
  </si>
  <si>
    <t>Clicar e inspecionar (F12)</t>
  </si>
  <si>
    <t>N.º de marcadores, de 10, com número, nome da regra, valor e local</t>
  </si>
  <si>
    <t>0–2</t>
  </si>
  <si>
    <t>3–4</t>
  </si>
  <si>
    <t>5–7</t>
  </si>
  <si>
    <t>8–9</t>
  </si>
  <si>
    <t>10</t>
  </si>
  <si>
    <t>Ler as 10 legendas e contar</t>
  </si>
  <si>
    <t>N.º de erros (ortografia, gramática, termos não PT-PT, frases com &gt; 25 palavras)</t>
  </si>
  <si>
    <t>&gt; 10</t>
  </si>
  <si>
    <t>6–10</t>
  </si>
  <si>
    <t>3–5</t>
  </si>
  <si>
    <t>1–2</t>
  </si>
  <si>
    <t>Revisão por um elemento que não escreveu o texto</t>
  </si>
  <si>
    <t>N.º de elementos, de 4 (título, objetivo, 5 lições, público), iguais aos do S3</t>
  </si>
  <si>
    <t>Comparar com o S3 (MOOC Template)</t>
  </si>
  <si>
    <t>Média de regras, de 10, que um utilizador identifica corretamente</t>
  </si>
  <si>
    <t>0–3</t>
  </si>
  <si>
    <t>Teste com utilizadores (ver Notas)</t>
  </si>
  <si>
    <t>Erros e avisos na consola ao abrir com duplo clique e ao usar o botão</t>
  </si>
  <si>
    <t>Erro que parte a página</t>
  </si>
  <si>
    <t>≥ 3 erros</t>
  </si>
  <si>
    <t>1–2 erros</t>
  </si>
  <si>
    <t>Só avisos</t>
  </si>
  <si>
    <t>0 erros e 0 avisos</t>
  </si>
  <si>
    <t>Consola do browser (F12)</t>
  </si>
  <si>
    <t>N.º de combinações, de 4 (Chrome, Edge, Firefox no computador; Chrome no telemóvel), sem diferenças</t>
  </si>
  <si>
    <t>Abrir em cada um e comparar</t>
  </si>
  <si>
    <t>Largest Contentful Paint (s)</t>
  </si>
  <si>
    <t>&gt; 10 s</t>
  </si>
  <si>
    <t>2–3 s</t>
  </si>
  <si>
    <t>&lt; 2 s</t>
  </si>
  <si>
    <t>N.º de cenários, de 2 (sem a foto; sem internet, logo sem a letra da Google), em que a composição se mantém</t>
  </si>
  <si>
    <t>Mudar o nome da foto; desligar a rede</t>
  </si>
  <si>
    <t>Maior distância (px) do título, do botão e do rosto à respetiva linha ou ponto forte</t>
  </si>
  <si>
    <t>&gt; 100 px</t>
  </si>
  <si>
    <t>51–100 px</t>
  </si>
  <si>
    <t>26–50 px</t>
  </si>
  <si>
    <t>11–25 px</t>
  </si>
  <si>
    <t>≤ 10 px</t>
  </si>
  <si>
    <t>«Mostrar regras» + medir no F12</t>
  </si>
  <si>
    <t>Ler os tamanhos no F12 (Computed)</t>
  </si>
  <si>
    <t>N.º de blocos com &gt; 4 px de desvio da grelha de 12 colunas ou do eixo esquerdo</t>
  </si>
  <si>
    <t>≥ 5</t>
  </si>
  <si>
    <t>«Mostrar regras» com a grelha</t>
  </si>
  <si>
    <t>N.º de elementos com âmbar fora do botão e dos números das lições</t>
  </si>
  <si>
    <t>≥ 4</t>
  </si>
  <si>
    <t>Procurar #A8600F no CSS e na página</t>
  </si>
  <si>
    <t>Menor espaço entre secções (px)</t>
  </si>
  <si>
    <t>&lt; 16 px</t>
  </si>
  <si>
    <t>16–31 px</t>
  </si>
  <si>
    <t>32–39 px</t>
  </si>
  <si>
    <t>40–47 px</t>
  </si>
  <si>
    <t>≥ 48 px</t>
  </si>
  <si>
    <t>«Mostrar regras» com a medida entre blocos</t>
  </si>
  <si>
    <t>N.º de diferenças entre os 5 cartões (estrutura ícone/título/duração, letra, cor, altura com ± 4 px)</t>
  </si>
  <si>
    <t>Comparar os cartões no F12</t>
  </si>
  <si>
    <t>N.º de condições, de 4: imagem à esquerda do título · título acima do botão · botão no fim do Z · olhar da pessoa para o texto</t>
  </si>
  <si>
    <t>«Mostrar regras» com o percurso em Z</t>
  </si>
  <si>
    <t>N.º de pares texto/fundo &lt; 4,5:1 (WCAG AA)</t>
  </si>
  <si>
    <t>Verificador de contraste (WebAIM ou F12)</t>
  </si>
  <si>
    <t>N.º de condições, de 4: 1 família sem serifa · ≤ 2 pesos · corpo ≥ 18 px · linhas ≤ 70 caracteres</t>
  </si>
  <si>
    <t>F12 (Computed) e contar caracteres por linha</t>
  </si>
  <si>
    <t>% de botões e links com ≥ 44 px de altura, distintos do texto e com estado ao passar e ao focar</t>
  </si>
  <si>
    <t>Passar o rato, usar o Tab, medir no F12</t>
  </si>
  <si>
    <t>% de tarefas concluídas sem ajuda</t>
  </si>
  <si>
    <t>&lt; 40 %</t>
  </si>
  <si>
    <t>40–59 %</t>
  </si>
  <si>
    <t>60–79 %</t>
  </si>
  <si>
    <t>80–99 %</t>
  </si>
  <si>
    <t>Tempo médio por tarefa (s)</t>
  </si>
  <si>
    <t>&gt; 90 s</t>
  </si>
  <si>
    <t>61–90 s</t>
  </si>
  <si>
    <t>31–60 s</t>
  </si>
  <si>
    <t>16–30 s</t>
  </si>
  <si>
    <t>≤ 15 s</t>
  </si>
  <si>
    <t>Teste com utilizadores, com cronómetro</t>
  </si>
  <si>
    <t>Pontuação média do SUS (0–100)</t>
  </si>
  <si>
    <t>&lt; 50</t>
  </si>
  <si>
    <t>50–67</t>
  </si>
  <si>
    <t>68–79</t>
  </si>
  <si>
    <t>80–89</t>
  </si>
  <si>
    <t>≥ 90</t>
  </si>
  <si>
    <t>Questionário SUS no fim do teste</t>
  </si>
  <si>
    <t>% de elementos interativos alcançados com Tab e com foco visível</t>
  </si>
  <si>
    <t>Percorrer a página só com Tab e Enter</t>
  </si>
  <si>
    <t>Maior zoom sem cortes nem scroll horizontal</t>
  </si>
  <si>
    <t>125 %</t>
  </si>
  <si>
    <t>150 %</t>
  </si>
  <si>
    <t>175 %</t>
  </si>
  <si>
    <t>200 %</t>
  </si>
  <si>
    <t>Ctrl + até 200 %</t>
  </si>
  <si>
    <t>N.º de informações dadas só pela cor</t>
  </si>
  <si>
    <t>Escala de cinzentos (F12 → Rendering)</t>
  </si>
  <si>
    <t>Pontuação de Acessibilidade do Lighthouse</t>
  </si>
  <si>
    <t>50–69</t>
  </si>
  <si>
    <t>70–89</t>
  </si>
  <si>
    <t>90–99</t>
  </si>
  <si>
    <t>100</t>
  </si>
  <si>
    <t>N.º de larguras, de 4 (360, 768, 1100, 1440 px), sem scroll horizontal nem sobreposições</t>
  </si>
  <si>
    <t>Modo dispositivo do browser e telemóvel real</t>
  </si>
  <si>
    <t>Cenário de qualidade QEF — página «Cuidar em Crise» (teórica de composição visual) · Grupo 1</t>
  </si>
  <si>
    <t>Tipos de requisito</t>
  </si>
  <si>
    <t>G — Genérico: vale para qualquer página ou software educativo. Vem do modelo QEF_Final.xlsx (navegação, links, erros, browsers, carregamento, contraste, tipografia, teclado, zoom, telemóvel, facilidade de uso).</t>
  </si>
  <si>
    <t>Dimensões (4): Funcionalidade · Eficiência · Estética · Usabilidade. Q = 1 − D/√4. As 3 dimensões do exemplo dos slides (Funcionalidade, Adaptabilidade, Eficiência) foram adaptadas como nos QEF dos anos anteriores: a Estética mede a composição visual (objetivo da teórica) e a Usabilidade junta facilidade de uso, acessibilidade e responsividade.</t>
  </si>
  <si>
    <t>Pesos dos critérios (escala QEF): 10 fundamental · 8 muito importante · 6 importante · 4 necessário · 2 opcional · 0 não relevante.</t>
  </si>
  <si>
    <t>Pesos dos fatores: somam 1 em cada dimensão.</t>
  </si>
  <si>
    <t>Como avaliar</t>
  </si>
  <si>
    <t>1. Cada critério tem uma medida numérica (px, s, %, contagem, pontuação). Mede-se com o instrumento da coluna «Como testar».</t>
  </si>
  <si>
    <t>3. O q (%) calcula-se sozinho. Medições a 1280 px de largura, salvo indicação.</t>
  </si>
  <si>
    <t>4. Quem avalia não é quem fez a regra (revisão cruzada).</t>
  </si>
  <si>
    <t>3–5 pessoas que não fizeram a página, sem ajuda, com cronómetro.</t>
  </si>
  <si>
    <t>Tarefa 1: encontrar as lições do curso. Tarefa 2: mostrar as regras e dizer onde está aplicada a regra n.º 3. Tarefa 3: voltar a esconder as regras.</t>
  </si>
  <si>
    <t>FI4 - As setas passam de regra em regra</t>
  </si>
  <si>
    <t>N.º de camadas, de 11, que ligam e desligam corretamente: 7 a 1280 px (grelha, terços, Z, medida, marcadores, lista das regras, barra com setas) + 4 a 360 px (medida, marcadores, lista, barra; a grelha, os terços e o Z só existem a ≥ 1100 px)</t>
  </si>
  <si>
    <t>4–6</t>
  </si>
  <si>
    <t>7–8</t>
  </si>
  <si>
    <t>9–10</t>
  </si>
  <si>
    <t>11</t>
  </si>
  <si>
    <t>Clicar 2× (mostrar e esconder) a 1280 px e a 360 px e contar as camadas</t>
  </si>
  <si>
    <t>N.º de condições, de 4: botões ← e → mudam de regra · teclas ← e → fazem o mesmo, só com as regras ligadas · da 10 passa à 1 e da 1 à 10 · a barra mostra «n/10» e o marcador atual fica realçado e à vista</t>
  </si>
  <si>
    <t>Ligar as regras e dar a volta às 10 regras com os botões e com as teclas, nos dois sentidos</t>
  </si>
  <si>
    <t>Lighthouse no Chrome (F12 → Lighthouse), com a página num servidor local (ver Notas, ponto 5)</t>
  </si>
  <si>
    <t>Lighthouse → Acessibilidade, com a página num servidor local (ver Notas, ponto 5)</t>
  </si>
  <si>
    <t>E — Específico: só faz sentido nesta página. Mede o objetivo da teórica (as 10 regras de composição) e as funções próprias da página (botão «Mostrar regras», marcadores, setas ← →, coerência com o MOOC, funcionar sem a foto).</t>
  </si>
  <si>
    <t>5. E03 e UA4: o Lighthouse só analisa páginas http/https, não o ficheiro aberto com duplo clique. Na pasta Files/Teoricas, correr npx http-server e abrir http://localhost:8080/ComposicaoVisual_Pagina_Estatica_Grupo1.html. O E01 continua a medir-se com duplo clique.</t>
  </si>
  <si>
    <t>2. Escolhe-se o nível (0/25/50/75/100) onde cai o valor medido e escreve-se na coluna amarela (J) da folha QEF.</t>
  </si>
  <si>
    <t>Teste com utilizadores (UF1–UF3, FC4 e EC5)</t>
  </si>
  <si>
    <t>Depois: com as regras escondidas, pergunta-se «A abertura pende para algum lado?» (EC5). A seguir, 2 min com «Mostrar regras» ligado; cada pessoa diz que regra ilustra cada marcador (FC4). No fim, questionário SUS (10 perguntas, escala 1–5).</t>
  </si>
  <si>
    <t>N.º de pares seguidos, de 3 (título/promessa, promessa/corpo, corpo/rodapé), em que o maior é ≥ 1,2× o menor</t>
  </si>
  <si>
    <t>N.º de condições, de 3: proporção foto:texto a ≤ 10 % de 2:1 (8:4 colunas) · ≥ 1/3 da altura da abertura vazia do lado do texto · ≥ 80 % das pessoas do teste dizem que a abertura não pende para nenhum lado</t>
  </si>
  <si>
    <t>Medir larguras e alturas no F12; pergunta no teste com utilizadores (ver Notas)</t>
  </si>
  <si>
    <t>&gt; 6 s e ≤ 10 s</t>
  </si>
  <si>
    <t>&gt; 3 s e ≤ 6 s</t>
  </si>
  <si>
    <t>&lt; 4</t>
  </si>
  <si>
    <t>≥ 4 e &lt; 6</t>
  </si>
  <si>
    <t>≥ 6 e &lt; 8</t>
  </si>
  <si>
    <t>≥ 8 e &lt;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</si>
</sst>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B5A8A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0" borderId="0" xfId="0" applyFont="1"/>
    <xf numFmtId="0" fontId="2" fillId="2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49" fontId="0" fillId="0" borderId="2" xfId="0" applyNumberForma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49" fontId="0" fillId="0" borderId="2" xfId="0" quotePrefix="1" applyNumberForma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319F-1766-4174-9B84-1B12D9E0699C}">
  <dimension ref="A1:K32"/>
  <sheetViews>
    <sheetView tabSelected="1" workbookViewId="0"/>
  </sheetViews>
  <sheetFormatPr defaultRowHeight="15" x14ac:dyDescent="0.25"/>
  <cols>
    <col min="1" max="3" width="9.7109375" customWidth="1"/>
    <col min="4" max="4" width="16.7109375" customWidth="1"/>
    <col min="5" max="5" width="9.7109375" customWidth="1"/>
    <col min="6" max="6" width="7.7109375" customWidth="1"/>
    <col min="7" max="7" width="18.7109375" customWidth="1"/>
    <col min="8" max="8" width="7.7109375" customWidth="1"/>
    <col min="9" max="9" width="60.7109375" customWidth="1"/>
    <col min="10" max="10" width="16.7109375" customWidth="1"/>
    <col min="11" max="11" width="9.7109375" customWidth="1"/>
  </cols>
  <sheetData>
    <row r="1" spans="1:11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9">
        <f>(1-B2/SQRT(4))*100</f>
        <v>0</v>
      </c>
      <c r="B2" s="21">
        <f>SQRT((1-C2/100)^2+(1-C10/100)^2+(1-C14/100)^2+(1-C25/100)^2)</f>
        <v>2</v>
      </c>
      <c r="C2" s="21">
        <f>SUMPRODUCT(E2:E9,F2:F9)</f>
        <v>0</v>
      </c>
      <c r="D2" s="23" t="s">
        <v>22</v>
      </c>
      <c r="E2" s="21">
        <f>(1/SUM(H2:H5))*SUMPRODUCT(H2:H5,J2:J5)</f>
        <v>0</v>
      </c>
      <c r="F2" s="23">
        <v>0.4</v>
      </c>
      <c r="G2" s="23" t="s">
        <v>16</v>
      </c>
      <c r="H2" s="3">
        <v>10</v>
      </c>
      <c r="I2" s="1" t="s">
        <v>11</v>
      </c>
      <c r="J2" s="4">
        <v>0</v>
      </c>
      <c r="K2" s="3" t="s">
        <v>12</v>
      </c>
    </row>
    <row r="3" spans="1:11" x14ac:dyDescent="0.25">
      <c r="A3" s="19"/>
      <c r="B3" s="21"/>
      <c r="C3" s="21"/>
      <c r="D3" s="23"/>
      <c r="E3" s="21"/>
      <c r="F3" s="23"/>
      <c r="G3" s="23"/>
      <c r="H3" s="3">
        <v>8</v>
      </c>
      <c r="I3" s="1" t="s">
        <v>13</v>
      </c>
      <c r="J3" s="4">
        <v>0</v>
      </c>
      <c r="K3" s="3" t="s">
        <v>14</v>
      </c>
    </row>
    <row r="4" spans="1:11" ht="15" customHeight="1" x14ac:dyDescent="0.25">
      <c r="A4" s="20"/>
      <c r="B4" s="22"/>
      <c r="C4" s="22"/>
      <c r="D4" s="24"/>
      <c r="E4" s="22"/>
      <c r="F4" s="24"/>
      <c r="G4" s="24"/>
      <c r="H4" s="15">
        <v>6</v>
      </c>
      <c r="I4" s="16" t="s">
        <v>15</v>
      </c>
      <c r="J4" s="17">
        <v>0</v>
      </c>
      <c r="K4" s="15" t="s">
        <v>14</v>
      </c>
    </row>
    <row r="5" spans="1:11" ht="15" customHeight="1" x14ac:dyDescent="0.25">
      <c r="A5" s="19"/>
      <c r="B5" s="21"/>
      <c r="C5" s="21"/>
      <c r="D5" s="23"/>
      <c r="E5" s="21"/>
      <c r="F5" s="23"/>
      <c r="G5" s="23"/>
      <c r="H5" s="3">
        <v>6</v>
      </c>
      <c r="I5" s="1" t="s">
        <v>185</v>
      </c>
      <c r="J5" s="4">
        <v>0</v>
      </c>
      <c r="K5" s="3" t="s">
        <v>12</v>
      </c>
    </row>
    <row r="6" spans="1:11" x14ac:dyDescent="0.25">
      <c r="A6" s="19"/>
      <c r="B6" s="21"/>
      <c r="C6" s="21"/>
      <c r="D6" s="23"/>
      <c r="E6" s="21">
        <f>(1/SUM(H6:H9))*SUMPRODUCT(H6:H9,J6:J9)</f>
        <v>0</v>
      </c>
      <c r="F6" s="23">
        <v>0.6</v>
      </c>
      <c r="G6" s="23" t="s">
        <v>21</v>
      </c>
      <c r="H6" s="3">
        <v>10</v>
      </c>
      <c r="I6" s="1" t="s">
        <v>17</v>
      </c>
      <c r="J6" s="4">
        <v>0</v>
      </c>
      <c r="K6" s="3" t="s">
        <v>12</v>
      </c>
    </row>
    <row r="7" spans="1:11" x14ac:dyDescent="0.25">
      <c r="A7" s="19"/>
      <c r="B7" s="21"/>
      <c r="C7" s="21"/>
      <c r="D7" s="23"/>
      <c r="E7" s="21"/>
      <c r="F7" s="23"/>
      <c r="G7" s="23"/>
      <c r="H7" s="3">
        <v>8</v>
      </c>
      <c r="I7" s="1" t="s">
        <v>18</v>
      </c>
      <c r="J7" s="4">
        <v>0</v>
      </c>
      <c r="K7" s="3" t="s">
        <v>14</v>
      </c>
    </row>
    <row r="8" spans="1:11" x14ac:dyDescent="0.25">
      <c r="A8" s="19"/>
      <c r="B8" s="21"/>
      <c r="C8" s="21"/>
      <c r="D8" s="23"/>
      <c r="E8" s="21"/>
      <c r="F8" s="23"/>
      <c r="G8" s="23"/>
      <c r="H8" s="3">
        <v>6</v>
      </c>
      <c r="I8" s="1" t="s">
        <v>19</v>
      </c>
      <c r="J8" s="4">
        <v>0</v>
      </c>
      <c r="K8" s="3" t="s">
        <v>12</v>
      </c>
    </row>
    <row r="9" spans="1:11" x14ac:dyDescent="0.25">
      <c r="A9" s="19"/>
      <c r="B9" s="21"/>
      <c r="C9" s="21"/>
      <c r="D9" s="23"/>
      <c r="E9" s="21"/>
      <c r="F9" s="23"/>
      <c r="G9" s="23"/>
      <c r="H9" s="3">
        <v>8</v>
      </c>
      <c r="I9" s="1" t="s">
        <v>20</v>
      </c>
      <c r="J9" s="4">
        <v>0</v>
      </c>
      <c r="K9" s="3" t="s">
        <v>12</v>
      </c>
    </row>
    <row r="10" spans="1:11" x14ac:dyDescent="0.25">
      <c r="A10" s="19"/>
      <c r="B10" s="21"/>
      <c r="C10" s="21">
        <f>SUMPRODUCT(E10:E13,F10:F13)</f>
        <v>0</v>
      </c>
      <c r="D10" s="23" t="s">
        <v>27</v>
      </c>
      <c r="E10" s="21">
        <f>(1/SUM(H10:H13))*SUMPRODUCT(H10:H13,J10:J13)</f>
        <v>0</v>
      </c>
      <c r="F10" s="23">
        <v>1</v>
      </c>
      <c r="G10" s="23" t="s">
        <v>27</v>
      </c>
      <c r="H10" s="3">
        <v>10</v>
      </c>
      <c r="I10" s="1" t="s">
        <v>23</v>
      </c>
      <c r="J10" s="4">
        <v>0</v>
      </c>
      <c r="K10" s="3" t="s">
        <v>14</v>
      </c>
    </row>
    <row r="11" spans="1:11" x14ac:dyDescent="0.25">
      <c r="A11" s="19"/>
      <c r="B11" s="21"/>
      <c r="C11" s="21"/>
      <c r="D11" s="23"/>
      <c r="E11" s="21"/>
      <c r="F11" s="23"/>
      <c r="G11" s="23"/>
      <c r="H11" s="3">
        <v>8</v>
      </c>
      <c r="I11" s="1" t="s">
        <v>24</v>
      </c>
      <c r="J11" s="4">
        <v>0</v>
      </c>
      <c r="K11" s="3" t="s">
        <v>14</v>
      </c>
    </row>
    <row r="12" spans="1:11" x14ac:dyDescent="0.25">
      <c r="A12" s="19"/>
      <c r="B12" s="21"/>
      <c r="C12" s="21"/>
      <c r="D12" s="23"/>
      <c r="E12" s="21"/>
      <c r="F12" s="23"/>
      <c r="G12" s="23"/>
      <c r="H12" s="3">
        <v>8</v>
      </c>
      <c r="I12" s="1" t="s">
        <v>25</v>
      </c>
      <c r="J12" s="4">
        <v>0</v>
      </c>
      <c r="K12" s="3" t="s">
        <v>14</v>
      </c>
    </row>
    <row r="13" spans="1:11" x14ac:dyDescent="0.25">
      <c r="A13" s="19"/>
      <c r="B13" s="21"/>
      <c r="C13" s="21"/>
      <c r="D13" s="23"/>
      <c r="E13" s="21"/>
      <c r="F13" s="23"/>
      <c r="G13" s="23"/>
      <c r="H13" s="3">
        <v>6</v>
      </c>
      <c r="I13" s="1" t="s">
        <v>26</v>
      </c>
      <c r="J13" s="4">
        <v>0</v>
      </c>
      <c r="K13" s="3" t="s">
        <v>12</v>
      </c>
    </row>
    <row r="14" spans="1:11" x14ac:dyDescent="0.25">
      <c r="A14" s="19"/>
      <c r="B14" s="21"/>
      <c r="C14" s="21">
        <f>SUMPRODUCT(E14:E24,F14:F24)</f>
        <v>0</v>
      </c>
      <c r="D14" s="23" t="s">
        <v>41</v>
      </c>
      <c r="E14" s="21">
        <f>(1/SUM(H14:H21))*SUMPRODUCT(H14:H21,J14:J21)</f>
        <v>0</v>
      </c>
      <c r="F14" s="23">
        <v>0.6</v>
      </c>
      <c r="G14" s="23" t="s">
        <v>36</v>
      </c>
      <c r="H14" s="3">
        <v>10</v>
      </c>
      <c r="I14" s="1" t="s">
        <v>28</v>
      </c>
      <c r="J14" s="4">
        <v>0</v>
      </c>
      <c r="K14" s="3" t="s">
        <v>12</v>
      </c>
    </row>
    <row r="15" spans="1:11" x14ac:dyDescent="0.25">
      <c r="A15" s="19"/>
      <c r="B15" s="21"/>
      <c r="C15" s="21"/>
      <c r="D15" s="23"/>
      <c r="E15" s="21"/>
      <c r="F15" s="23"/>
      <c r="G15" s="23"/>
      <c r="H15" s="3">
        <v>8</v>
      </c>
      <c r="I15" s="1" t="s">
        <v>29</v>
      </c>
      <c r="J15" s="4">
        <v>0</v>
      </c>
      <c r="K15" s="3" t="s">
        <v>12</v>
      </c>
    </row>
    <row r="16" spans="1:11" x14ac:dyDescent="0.25">
      <c r="A16" s="19"/>
      <c r="B16" s="21"/>
      <c r="C16" s="21"/>
      <c r="D16" s="23"/>
      <c r="E16" s="21"/>
      <c r="F16" s="23"/>
      <c r="G16" s="23"/>
      <c r="H16" s="3">
        <v>8</v>
      </c>
      <c r="I16" s="1" t="s">
        <v>30</v>
      </c>
      <c r="J16" s="4">
        <v>0</v>
      </c>
      <c r="K16" s="3" t="s">
        <v>12</v>
      </c>
    </row>
    <row r="17" spans="1:11" x14ac:dyDescent="0.25">
      <c r="A17" s="19"/>
      <c r="B17" s="21"/>
      <c r="C17" s="21"/>
      <c r="D17" s="23"/>
      <c r="E17" s="21"/>
      <c r="F17" s="23"/>
      <c r="G17" s="23"/>
      <c r="H17" s="3">
        <v>8</v>
      </c>
      <c r="I17" s="1" t="s">
        <v>31</v>
      </c>
      <c r="J17" s="4">
        <v>0</v>
      </c>
      <c r="K17" s="3" t="s">
        <v>12</v>
      </c>
    </row>
    <row r="18" spans="1:11" x14ac:dyDescent="0.25">
      <c r="A18" s="19"/>
      <c r="B18" s="21"/>
      <c r="C18" s="21"/>
      <c r="D18" s="23"/>
      <c r="E18" s="21"/>
      <c r="F18" s="23"/>
      <c r="G18" s="23"/>
      <c r="H18" s="3">
        <v>6</v>
      </c>
      <c r="I18" s="1" t="s">
        <v>32</v>
      </c>
      <c r="J18" s="4">
        <v>0</v>
      </c>
      <c r="K18" s="3" t="s">
        <v>12</v>
      </c>
    </row>
    <row r="19" spans="1:11" x14ac:dyDescent="0.25">
      <c r="A19" s="19"/>
      <c r="B19" s="21"/>
      <c r="C19" s="21"/>
      <c r="D19" s="23"/>
      <c r="E19" s="21"/>
      <c r="F19" s="23"/>
      <c r="G19" s="23"/>
      <c r="H19" s="3">
        <v>6</v>
      </c>
      <c r="I19" s="1" t="s">
        <v>33</v>
      </c>
      <c r="J19" s="4">
        <v>0</v>
      </c>
      <c r="K19" s="3" t="s">
        <v>12</v>
      </c>
    </row>
    <row r="20" spans="1:11" x14ac:dyDescent="0.25">
      <c r="A20" s="19"/>
      <c r="B20" s="21"/>
      <c r="C20" s="21"/>
      <c r="D20" s="23"/>
      <c r="E20" s="21"/>
      <c r="F20" s="23"/>
      <c r="G20" s="23"/>
      <c r="H20" s="3">
        <v>6</v>
      </c>
      <c r="I20" s="1" t="s">
        <v>34</v>
      </c>
      <c r="J20" s="4">
        <v>0</v>
      </c>
      <c r="K20" s="3" t="s">
        <v>12</v>
      </c>
    </row>
    <row r="21" spans="1:11" x14ac:dyDescent="0.25">
      <c r="A21" s="19"/>
      <c r="B21" s="21"/>
      <c r="C21" s="21"/>
      <c r="D21" s="23"/>
      <c r="E21" s="21"/>
      <c r="F21" s="23"/>
      <c r="G21" s="23"/>
      <c r="H21" s="3">
        <v>6</v>
      </c>
      <c r="I21" s="1" t="s">
        <v>35</v>
      </c>
      <c r="J21" s="4">
        <v>0</v>
      </c>
      <c r="K21" s="3" t="s">
        <v>12</v>
      </c>
    </row>
    <row r="22" spans="1:11" x14ac:dyDescent="0.25">
      <c r="A22" s="19"/>
      <c r="B22" s="21"/>
      <c r="C22" s="21"/>
      <c r="D22" s="23"/>
      <c r="E22" s="21">
        <f>(1/SUM(H22:H24))*SUMPRODUCT(H22:H24,J22:J24)</f>
        <v>0</v>
      </c>
      <c r="F22" s="23">
        <v>0.4</v>
      </c>
      <c r="G22" s="23" t="s">
        <v>40</v>
      </c>
      <c r="H22" s="3">
        <v>10</v>
      </c>
      <c r="I22" s="1" t="s">
        <v>37</v>
      </c>
      <c r="J22" s="4">
        <v>0</v>
      </c>
      <c r="K22" s="3" t="s">
        <v>14</v>
      </c>
    </row>
    <row r="23" spans="1:11" x14ac:dyDescent="0.25">
      <c r="A23" s="19"/>
      <c r="B23" s="21"/>
      <c r="C23" s="21"/>
      <c r="D23" s="23"/>
      <c r="E23" s="21"/>
      <c r="F23" s="23"/>
      <c r="G23" s="23"/>
      <c r="H23" s="3">
        <v>10</v>
      </c>
      <c r="I23" s="1" t="s">
        <v>38</v>
      </c>
      <c r="J23" s="4">
        <v>0</v>
      </c>
      <c r="K23" s="3" t="s">
        <v>14</v>
      </c>
    </row>
    <row r="24" spans="1:11" x14ac:dyDescent="0.25">
      <c r="A24" s="19"/>
      <c r="B24" s="21"/>
      <c r="C24" s="21"/>
      <c r="D24" s="23"/>
      <c r="E24" s="21"/>
      <c r="F24" s="23"/>
      <c r="G24" s="23"/>
      <c r="H24" s="3">
        <v>8</v>
      </c>
      <c r="I24" s="1" t="s">
        <v>39</v>
      </c>
      <c r="J24" s="4">
        <v>0</v>
      </c>
      <c r="K24" s="3" t="s">
        <v>14</v>
      </c>
    </row>
    <row r="25" spans="1:11" x14ac:dyDescent="0.25">
      <c r="A25" s="19"/>
      <c r="B25" s="21"/>
      <c r="C25" s="21">
        <f>SUMPRODUCT(E25:E32,F25:F32)</f>
        <v>0</v>
      </c>
      <c r="D25" s="23" t="s">
        <v>53</v>
      </c>
      <c r="E25" s="21">
        <f>(1/SUM(H25:H27))*SUMPRODUCT(H25:H27,J25:J27)</f>
        <v>0</v>
      </c>
      <c r="F25" s="23">
        <v>0.4</v>
      </c>
      <c r="G25" s="23" t="s">
        <v>45</v>
      </c>
      <c r="H25" s="3">
        <v>10</v>
      </c>
      <c r="I25" s="1" t="s">
        <v>42</v>
      </c>
      <c r="J25" s="4">
        <v>0</v>
      </c>
      <c r="K25" s="3" t="s">
        <v>14</v>
      </c>
    </row>
    <row r="26" spans="1:11" x14ac:dyDescent="0.25">
      <c r="A26" s="19"/>
      <c r="B26" s="21"/>
      <c r="C26" s="21"/>
      <c r="D26" s="23"/>
      <c r="E26" s="21"/>
      <c r="F26" s="23"/>
      <c r="G26" s="23"/>
      <c r="H26" s="3">
        <v>8</v>
      </c>
      <c r="I26" s="1" t="s">
        <v>43</v>
      </c>
      <c r="J26" s="4">
        <v>0</v>
      </c>
      <c r="K26" s="3" t="s">
        <v>14</v>
      </c>
    </row>
    <row r="27" spans="1:11" x14ac:dyDescent="0.25">
      <c r="A27" s="19"/>
      <c r="B27" s="21"/>
      <c r="C27" s="21"/>
      <c r="D27" s="23"/>
      <c r="E27" s="21"/>
      <c r="F27" s="23"/>
      <c r="G27" s="23"/>
      <c r="H27" s="3">
        <v>8</v>
      </c>
      <c r="I27" s="1" t="s">
        <v>44</v>
      </c>
      <c r="J27" s="4">
        <v>0</v>
      </c>
      <c r="K27" s="3" t="s">
        <v>14</v>
      </c>
    </row>
    <row r="28" spans="1:11" x14ac:dyDescent="0.25">
      <c r="A28" s="19"/>
      <c r="B28" s="21"/>
      <c r="C28" s="21"/>
      <c r="D28" s="23"/>
      <c r="E28" s="21">
        <f>(1/SUM(H28:H31))*SUMPRODUCT(H28:H31,J28:J31)</f>
        <v>0</v>
      </c>
      <c r="F28" s="23">
        <v>0.4</v>
      </c>
      <c r="G28" s="23" t="s">
        <v>50</v>
      </c>
      <c r="H28" s="3">
        <v>8</v>
      </c>
      <c r="I28" s="1" t="s">
        <v>46</v>
      </c>
      <c r="J28" s="4">
        <v>0</v>
      </c>
      <c r="K28" s="3" t="s">
        <v>14</v>
      </c>
    </row>
    <row r="29" spans="1:11" x14ac:dyDescent="0.25">
      <c r="A29" s="19"/>
      <c r="B29" s="21"/>
      <c r="C29" s="21"/>
      <c r="D29" s="23"/>
      <c r="E29" s="21"/>
      <c r="F29" s="23"/>
      <c r="G29" s="23"/>
      <c r="H29" s="3">
        <v>8</v>
      </c>
      <c r="I29" s="1" t="s">
        <v>47</v>
      </c>
      <c r="J29" s="4">
        <v>0</v>
      </c>
      <c r="K29" s="3" t="s">
        <v>14</v>
      </c>
    </row>
    <row r="30" spans="1:11" x14ac:dyDescent="0.25">
      <c r="A30" s="19"/>
      <c r="B30" s="21"/>
      <c r="C30" s="21"/>
      <c r="D30" s="23"/>
      <c r="E30" s="21"/>
      <c r="F30" s="23"/>
      <c r="G30" s="23"/>
      <c r="H30" s="3">
        <v>6</v>
      </c>
      <c r="I30" s="1" t="s">
        <v>48</v>
      </c>
      <c r="J30" s="4">
        <v>0</v>
      </c>
      <c r="K30" s="3" t="s">
        <v>14</v>
      </c>
    </row>
    <row r="31" spans="1:11" x14ac:dyDescent="0.25">
      <c r="A31" s="19"/>
      <c r="B31" s="21"/>
      <c r="C31" s="21"/>
      <c r="D31" s="23"/>
      <c r="E31" s="21"/>
      <c r="F31" s="23"/>
      <c r="G31" s="23"/>
      <c r="H31" s="3">
        <v>6</v>
      </c>
      <c r="I31" s="1" t="s">
        <v>49</v>
      </c>
      <c r="J31" s="4">
        <v>0</v>
      </c>
      <c r="K31" s="3" t="s">
        <v>14</v>
      </c>
    </row>
    <row r="32" spans="1:11" x14ac:dyDescent="0.25">
      <c r="A32" s="19"/>
      <c r="B32" s="21"/>
      <c r="C32" s="21"/>
      <c r="D32" s="23"/>
      <c r="E32" s="5">
        <f>(1/SUM(H32:H32))*SUMPRODUCT(H32:H32,J32:J32)</f>
        <v>0</v>
      </c>
      <c r="F32" s="3">
        <v>0.2</v>
      </c>
      <c r="G32" s="3" t="s">
        <v>52</v>
      </c>
      <c r="H32" s="3">
        <v>10</v>
      </c>
      <c r="I32" s="1" t="s">
        <v>51</v>
      </c>
      <c r="J32" s="4">
        <v>0</v>
      </c>
      <c r="K32" s="3" t="s">
        <v>14</v>
      </c>
    </row>
  </sheetData>
  <mergeCells count="31">
    <mergeCell ref="F10:F13"/>
    <mergeCell ref="G10:G13"/>
    <mergeCell ref="C10:C13"/>
    <mergeCell ref="D10:D13"/>
    <mergeCell ref="E2:E5"/>
    <mergeCell ref="F2:F5"/>
    <mergeCell ref="G2:G5"/>
    <mergeCell ref="E6:E9"/>
    <mergeCell ref="F6:F9"/>
    <mergeCell ref="G6:G9"/>
    <mergeCell ref="F14:F21"/>
    <mergeCell ref="G14:G21"/>
    <mergeCell ref="E22:E24"/>
    <mergeCell ref="F22:F24"/>
    <mergeCell ref="G22:G24"/>
    <mergeCell ref="F25:F27"/>
    <mergeCell ref="G25:G27"/>
    <mergeCell ref="E28:E31"/>
    <mergeCell ref="F28:F31"/>
    <mergeCell ref="G28:G31"/>
    <mergeCell ref="A2:A32"/>
    <mergeCell ref="B2:B32"/>
    <mergeCell ref="C14:C24"/>
    <mergeCell ref="D14:D24"/>
    <mergeCell ref="E25:E27"/>
    <mergeCell ref="C25:C32"/>
    <mergeCell ref="D25:D32"/>
    <mergeCell ref="E14:E21"/>
    <mergeCell ref="C2:C9"/>
    <mergeCell ref="D2:D9"/>
    <mergeCell ref="E10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7390-6571-4DF7-BA1F-32635A812925}">
  <dimension ref="A1:I16"/>
  <sheetViews>
    <sheetView topLeftCell="A8" workbookViewId="0">
      <selection activeCell="C10" sqref="C10"/>
    </sheetView>
  </sheetViews>
  <sheetFormatPr defaultRowHeight="15" x14ac:dyDescent="0.25"/>
  <cols>
    <col min="1" max="1" width="30.7109375" customWidth="1"/>
    <col min="2" max="2" width="6.7109375" customWidth="1"/>
    <col min="3" max="3" width="45.7109375" customWidth="1"/>
    <col min="4" max="8" width="13.7109375" customWidth="1"/>
    <col min="9" max="9" width="30.7109375" customWidth="1"/>
  </cols>
  <sheetData>
    <row r="1" spans="1:9" x14ac:dyDescent="0.25">
      <c r="A1" s="6" t="s">
        <v>3</v>
      </c>
      <c r="B1" s="6" t="s">
        <v>22</v>
      </c>
    </row>
    <row r="3" spans="1:9" x14ac:dyDescent="0.25">
      <c r="A3" s="6" t="s">
        <v>6</v>
      </c>
      <c r="B3" s="6" t="s">
        <v>16</v>
      </c>
    </row>
    <row r="4" spans="1:9" x14ac:dyDescent="0.25">
      <c r="A4" s="7" t="s">
        <v>8</v>
      </c>
      <c r="B4" s="9" t="s">
        <v>54</v>
      </c>
      <c r="C4" s="7" t="s">
        <v>55</v>
      </c>
      <c r="D4" s="9">
        <v>0</v>
      </c>
      <c r="E4" s="9">
        <v>25</v>
      </c>
      <c r="F4" s="9">
        <v>50</v>
      </c>
      <c r="G4" s="9">
        <v>75</v>
      </c>
      <c r="H4" s="9">
        <v>100</v>
      </c>
      <c r="I4" s="7" t="s">
        <v>56</v>
      </c>
    </row>
    <row r="5" spans="1:9" ht="90" x14ac:dyDescent="0.25">
      <c r="A5" s="8" t="s">
        <v>11</v>
      </c>
      <c r="B5" s="10" t="s">
        <v>12</v>
      </c>
      <c r="C5" s="8" t="s">
        <v>186</v>
      </c>
      <c r="D5" s="18" t="s">
        <v>89</v>
      </c>
      <c r="E5" s="18" t="s">
        <v>187</v>
      </c>
      <c r="F5" s="18" t="s">
        <v>188</v>
      </c>
      <c r="G5" s="18" t="s">
        <v>189</v>
      </c>
      <c r="H5" s="18" t="s">
        <v>190</v>
      </c>
      <c r="I5" s="8" t="s">
        <v>191</v>
      </c>
    </row>
    <row r="6" spans="1:9" ht="30" x14ac:dyDescent="0.25">
      <c r="A6" s="8" t="s">
        <v>13</v>
      </c>
      <c r="B6" s="10" t="s">
        <v>14</v>
      </c>
      <c r="C6" s="8" t="s">
        <v>61</v>
      </c>
      <c r="D6" s="11" t="s">
        <v>62</v>
      </c>
      <c r="E6" s="11" t="s">
        <v>63</v>
      </c>
      <c r="F6" s="11" t="s">
        <v>64</v>
      </c>
      <c r="G6" s="11" t="s">
        <v>65</v>
      </c>
      <c r="H6" s="11" t="s">
        <v>66</v>
      </c>
      <c r="I6" s="8" t="s">
        <v>67</v>
      </c>
    </row>
    <row r="7" spans="1:9" ht="30" x14ac:dyDescent="0.25">
      <c r="A7" s="8" t="s">
        <v>15</v>
      </c>
      <c r="B7" s="10" t="s">
        <v>14</v>
      </c>
      <c r="C7" s="8" t="s">
        <v>68</v>
      </c>
      <c r="D7" s="11" t="s">
        <v>69</v>
      </c>
      <c r="E7" s="11" t="s">
        <v>70</v>
      </c>
      <c r="F7" s="11" t="s">
        <v>71</v>
      </c>
      <c r="G7" s="11" t="s">
        <v>58</v>
      </c>
      <c r="H7" s="11" t="s">
        <v>59</v>
      </c>
      <c r="I7" s="8" t="s">
        <v>72</v>
      </c>
    </row>
    <row r="8" spans="1:9" ht="75" x14ac:dyDescent="0.25">
      <c r="A8" s="8" t="s">
        <v>185</v>
      </c>
      <c r="B8" s="10" t="s">
        <v>12</v>
      </c>
      <c r="C8" s="8" t="s">
        <v>192</v>
      </c>
      <c r="D8" s="11">
        <v>0</v>
      </c>
      <c r="E8" s="11">
        <v>1</v>
      </c>
      <c r="F8" s="11">
        <v>2</v>
      </c>
      <c r="G8" s="11">
        <v>3</v>
      </c>
      <c r="H8" s="11">
        <v>4</v>
      </c>
      <c r="I8" s="8" t="s">
        <v>193</v>
      </c>
    </row>
    <row r="11" spans="1:9" x14ac:dyDescent="0.25">
      <c r="A11" s="6" t="s">
        <v>6</v>
      </c>
      <c r="B11" s="6" t="s">
        <v>21</v>
      </c>
    </row>
    <row r="12" spans="1:9" x14ac:dyDescent="0.25">
      <c r="A12" s="7" t="s">
        <v>8</v>
      </c>
      <c r="B12" s="9" t="s">
        <v>54</v>
      </c>
      <c r="C12" s="7" t="s">
        <v>55</v>
      </c>
      <c r="D12" s="9">
        <v>0</v>
      </c>
      <c r="E12" s="9">
        <v>25</v>
      </c>
      <c r="F12" s="9">
        <v>50</v>
      </c>
      <c r="G12" s="9">
        <v>75</v>
      </c>
      <c r="H12" s="9">
        <v>100</v>
      </c>
      <c r="I12" s="7" t="s">
        <v>56</v>
      </c>
    </row>
    <row r="13" spans="1:9" ht="30" x14ac:dyDescent="0.25">
      <c r="A13" s="8" t="s">
        <v>17</v>
      </c>
      <c r="B13" s="10" t="s">
        <v>12</v>
      </c>
      <c r="C13" s="8" t="s">
        <v>73</v>
      </c>
      <c r="D13" s="11" t="s">
        <v>74</v>
      </c>
      <c r="E13" s="11" t="s">
        <v>75</v>
      </c>
      <c r="F13" s="11" t="s">
        <v>76</v>
      </c>
      <c r="G13" s="11" t="s">
        <v>77</v>
      </c>
      <c r="H13" s="11" t="s">
        <v>78</v>
      </c>
      <c r="I13" s="8" t="s">
        <v>79</v>
      </c>
    </row>
    <row r="14" spans="1:9" ht="30" x14ac:dyDescent="0.25">
      <c r="A14" s="8" t="s">
        <v>18</v>
      </c>
      <c r="B14" s="10" t="s">
        <v>14</v>
      </c>
      <c r="C14" s="8" t="s">
        <v>80</v>
      </c>
      <c r="D14" s="11" t="s">
        <v>81</v>
      </c>
      <c r="E14" s="11" t="s">
        <v>82</v>
      </c>
      <c r="F14" s="11" t="s">
        <v>83</v>
      </c>
      <c r="G14" s="11" t="s">
        <v>84</v>
      </c>
      <c r="H14" s="11" t="s">
        <v>69</v>
      </c>
      <c r="I14" s="8" t="s">
        <v>85</v>
      </c>
    </row>
    <row r="15" spans="1:9" ht="30" x14ac:dyDescent="0.25">
      <c r="A15" s="8" t="s">
        <v>19</v>
      </c>
      <c r="B15" s="10" t="s">
        <v>12</v>
      </c>
      <c r="C15" s="8" t="s">
        <v>86</v>
      </c>
      <c r="D15" s="11" t="s">
        <v>57</v>
      </c>
      <c r="E15" s="11" t="s">
        <v>70</v>
      </c>
      <c r="F15" s="11" t="s">
        <v>58</v>
      </c>
      <c r="G15" s="11" t="s">
        <v>59</v>
      </c>
      <c r="H15" s="11" t="s">
        <v>60</v>
      </c>
      <c r="I15" s="8" t="s">
        <v>87</v>
      </c>
    </row>
    <row r="16" spans="1:9" ht="30" x14ac:dyDescent="0.25">
      <c r="A16" s="8" t="s">
        <v>20</v>
      </c>
      <c r="B16" s="10" t="s">
        <v>12</v>
      </c>
      <c r="C16" s="8" t="s">
        <v>88</v>
      </c>
      <c r="D16" s="11" t="s">
        <v>206</v>
      </c>
      <c r="E16" s="11" t="s">
        <v>207</v>
      </c>
      <c r="F16" s="11" t="s">
        <v>208</v>
      </c>
      <c r="G16" s="11" t="s">
        <v>209</v>
      </c>
      <c r="H16" s="11">
        <v>10</v>
      </c>
      <c r="I16" s="8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76A11-9119-43FB-96FE-594ED4CB6AA3}">
  <dimension ref="A1:I8"/>
  <sheetViews>
    <sheetView workbookViewId="0"/>
  </sheetViews>
  <sheetFormatPr defaultRowHeight="15" x14ac:dyDescent="0.25"/>
  <cols>
    <col min="1" max="1" width="30.7109375" customWidth="1"/>
    <col min="2" max="2" width="6.7109375" customWidth="1"/>
    <col min="3" max="3" width="45.7109375" customWidth="1"/>
    <col min="4" max="8" width="13.7109375" customWidth="1"/>
    <col min="9" max="9" width="30.7109375" customWidth="1"/>
  </cols>
  <sheetData>
    <row r="1" spans="1:9" x14ac:dyDescent="0.25">
      <c r="A1" s="6" t="s">
        <v>3</v>
      </c>
      <c r="B1" s="6" t="s">
        <v>27</v>
      </c>
    </row>
    <row r="3" spans="1:9" x14ac:dyDescent="0.25">
      <c r="A3" s="6" t="s">
        <v>6</v>
      </c>
      <c r="B3" s="6" t="s">
        <v>27</v>
      </c>
    </row>
    <row r="4" spans="1:9" x14ac:dyDescent="0.25">
      <c r="A4" s="7" t="s">
        <v>8</v>
      </c>
      <c r="B4" s="9" t="s">
        <v>54</v>
      </c>
      <c r="C4" s="7" t="s">
        <v>55</v>
      </c>
      <c r="D4" s="9">
        <v>0</v>
      </c>
      <c r="E4" s="9">
        <v>25</v>
      </c>
      <c r="F4" s="9">
        <v>50</v>
      </c>
      <c r="G4" s="9">
        <v>75</v>
      </c>
      <c r="H4" s="9">
        <v>100</v>
      </c>
      <c r="I4" s="7" t="s">
        <v>56</v>
      </c>
    </row>
    <row r="5" spans="1:9" ht="30" x14ac:dyDescent="0.25">
      <c r="A5" s="8" t="s">
        <v>23</v>
      </c>
      <c r="B5" s="10" t="s">
        <v>14</v>
      </c>
      <c r="C5" s="8" t="s">
        <v>91</v>
      </c>
      <c r="D5" s="11" t="s">
        <v>92</v>
      </c>
      <c r="E5" s="11" t="s">
        <v>93</v>
      </c>
      <c r="F5" s="11" t="s">
        <v>94</v>
      </c>
      <c r="G5" s="11" t="s">
        <v>95</v>
      </c>
      <c r="H5" s="11" t="s">
        <v>96</v>
      </c>
      <c r="I5" s="8" t="s">
        <v>97</v>
      </c>
    </row>
    <row r="6" spans="1:9" ht="45" x14ac:dyDescent="0.25">
      <c r="A6" s="8" t="s">
        <v>24</v>
      </c>
      <c r="B6" s="10" t="s">
        <v>14</v>
      </c>
      <c r="C6" s="8" t="s">
        <v>98</v>
      </c>
      <c r="D6" s="11" t="s">
        <v>69</v>
      </c>
      <c r="E6" s="11" t="s">
        <v>71</v>
      </c>
      <c r="F6" s="11" t="s">
        <v>58</v>
      </c>
      <c r="G6" s="11" t="s">
        <v>59</v>
      </c>
      <c r="H6" s="11" t="s">
        <v>60</v>
      </c>
      <c r="I6" s="8" t="s">
        <v>99</v>
      </c>
    </row>
    <row r="7" spans="1:9" ht="60" x14ac:dyDescent="0.25">
      <c r="A7" s="8" t="s">
        <v>25</v>
      </c>
      <c r="B7" s="10" t="s">
        <v>14</v>
      </c>
      <c r="C7" s="8" t="s">
        <v>100</v>
      </c>
      <c r="D7" s="11" t="s">
        <v>101</v>
      </c>
      <c r="E7" s="11" t="s">
        <v>204</v>
      </c>
      <c r="F7" s="11" t="s">
        <v>205</v>
      </c>
      <c r="G7" s="11" t="s">
        <v>102</v>
      </c>
      <c r="H7" s="11" t="s">
        <v>103</v>
      </c>
      <c r="I7" s="8" t="s">
        <v>194</v>
      </c>
    </row>
    <row r="8" spans="1:9" ht="45" x14ac:dyDescent="0.25">
      <c r="A8" s="8" t="s">
        <v>26</v>
      </c>
      <c r="B8" s="10" t="s">
        <v>12</v>
      </c>
      <c r="C8" s="8" t="s">
        <v>104</v>
      </c>
      <c r="D8" s="11" t="s">
        <v>69</v>
      </c>
      <c r="E8" s="11" t="s">
        <v>70</v>
      </c>
      <c r="F8" s="11" t="s">
        <v>71</v>
      </c>
      <c r="G8" s="11" t="s">
        <v>70</v>
      </c>
      <c r="H8" s="11" t="s">
        <v>58</v>
      </c>
      <c r="I8" s="8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8800A-CE3F-4712-8829-DBB9C70592A7}">
  <dimension ref="A1:I19"/>
  <sheetViews>
    <sheetView topLeftCell="A14" workbookViewId="0">
      <selection activeCell="D12" sqref="D12"/>
    </sheetView>
  </sheetViews>
  <sheetFormatPr defaultRowHeight="15" x14ac:dyDescent="0.25"/>
  <cols>
    <col min="1" max="1" width="30.7109375" customWidth="1"/>
    <col min="2" max="2" width="6.7109375" customWidth="1"/>
    <col min="3" max="3" width="45.7109375" customWidth="1"/>
    <col min="4" max="8" width="13.7109375" customWidth="1"/>
    <col min="9" max="9" width="30.7109375" customWidth="1"/>
  </cols>
  <sheetData>
    <row r="1" spans="1:9" x14ac:dyDescent="0.25">
      <c r="A1" s="6" t="s">
        <v>3</v>
      </c>
      <c r="B1" s="6" t="s">
        <v>41</v>
      </c>
    </row>
    <row r="3" spans="1:9" x14ac:dyDescent="0.25">
      <c r="A3" s="6" t="s">
        <v>6</v>
      </c>
      <c r="B3" s="6" t="s">
        <v>36</v>
      </c>
    </row>
    <row r="4" spans="1:9" x14ac:dyDescent="0.25">
      <c r="A4" s="7" t="s">
        <v>8</v>
      </c>
      <c r="B4" s="9" t="s">
        <v>54</v>
      </c>
      <c r="C4" s="7" t="s">
        <v>55</v>
      </c>
      <c r="D4" s="9">
        <v>0</v>
      </c>
      <c r="E4" s="9">
        <v>25</v>
      </c>
      <c r="F4" s="9">
        <v>50</v>
      </c>
      <c r="G4" s="9">
        <v>75</v>
      </c>
      <c r="H4" s="9">
        <v>100</v>
      </c>
      <c r="I4" s="7" t="s">
        <v>56</v>
      </c>
    </row>
    <row r="5" spans="1:9" ht="30" x14ac:dyDescent="0.25">
      <c r="A5" s="8" t="s">
        <v>28</v>
      </c>
      <c r="B5" s="10" t="s">
        <v>12</v>
      </c>
      <c r="C5" s="8" t="s">
        <v>106</v>
      </c>
      <c r="D5" s="11" t="s">
        <v>107</v>
      </c>
      <c r="E5" s="11" t="s">
        <v>108</v>
      </c>
      <c r="F5" s="11" t="s">
        <v>109</v>
      </c>
      <c r="G5" s="11" t="s">
        <v>110</v>
      </c>
      <c r="H5" s="11" t="s">
        <v>111</v>
      </c>
      <c r="I5" s="8" t="s">
        <v>112</v>
      </c>
    </row>
    <row r="6" spans="1:9" ht="45" x14ac:dyDescent="0.25">
      <c r="A6" s="8" t="s">
        <v>29</v>
      </c>
      <c r="B6" s="10" t="s">
        <v>12</v>
      </c>
      <c r="C6" s="8" t="s">
        <v>201</v>
      </c>
      <c r="D6" s="11">
        <v>0</v>
      </c>
      <c r="E6" s="11">
        <v>1</v>
      </c>
      <c r="F6" s="11"/>
      <c r="G6" s="11">
        <v>2</v>
      </c>
      <c r="H6" s="11">
        <v>3</v>
      </c>
      <c r="I6" s="8" t="s">
        <v>113</v>
      </c>
    </row>
    <row r="7" spans="1:9" ht="30" x14ac:dyDescent="0.25">
      <c r="A7" s="8" t="s">
        <v>30</v>
      </c>
      <c r="B7" s="10" t="s">
        <v>12</v>
      </c>
      <c r="C7" s="8" t="s">
        <v>114</v>
      </c>
      <c r="D7" s="11" t="s">
        <v>115</v>
      </c>
      <c r="E7" s="11" t="s">
        <v>75</v>
      </c>
      <c r="F7" s="11" t="s">
        <v>58</v>
      </c>
      <c r="G7" s="11" t="s">
        <v>71</v>
      </c>
      <c r="H7" s="11" t="s">
        <v>69</v>
      </c>
      <c r="I7" s="8" t="s">
        <v>116</v>
      </c>
    </row>
    <row r="8" spans="1:9" ht="30" x14ac:dyDescent="0.25">
      <c r="A8" s="8" t="s">
        <v>31</v>
      </c>
      <c r="B8" s="10" t="s">
        <v>12</v>
      </c>
      <c r="C8" s="8" t="s">
        <v>117</v>
      </c>
      <c r="D8" s="11" t="s">
        <v>118</v>
      </c>
      <c r="E8" s="11" t="s">
        <v>59</v>
      </c>
      <c r="F8" s="11" t="s">
        <v>58</v>
      </c>
      <c r="G8" s="11" t="s">
        <v>71</v>
      </c>
      <c r="H8" s="11" t="s">
        <v>69</v>
      </c>
      <c r="I8" s="8" t="s">
        <v>119</v>
      </c>
    </row>
    <row r="9" spans="1:9" ht="75" x14ac:dyDescent="0.25">
      <c r="A9" s="8" t="s">
        <v>32</v>
      </c>
      <c r="B9" s="10" t="s">
        <v>12</v>
      </c>
      <c r="C9" s="8" t="s">
        <v>202</v>
      </c>
      <c r="D9" s="11">
        <v>0</v>
      </c>
      <c r="E9" s="11">
        <v>1</v>
      </c>
      <c r="F9" s="11"/>
      <c r="G9" s="11">
        <v>2</v>
      </c>
      <c r="H9" s="11">
        <v>3</v>
      </c>
      <c r="I9" s="8" t="s">
        <v>203</v>
      </c>
    </row>
    <row r="10" spans="1:9" ht="30" x14ac:dyDescent="0.25">
      <c r="A10" s="8" t="s">
        <v>33</v>
      </c>
      <c r="B10" s="10" t="s">
        <v>12</v>
      </c>
      <c r="C10" s="8" t="s">
        <v>120</v>
      </c>
      <c r="D10" s="11" t="s">
        <v>121</v>
      </c>
      <c r="E10" s="11" t="s">
        <v>122</v>
      </c>
      <c r="F10" s="11" t="s">
        <v>123</v>
      </c>
      <c r="G10" s="11" t="s">
        <v>124</v>
      </c>
      <c r="H10" s="11" t="s">
        <v>125</v>
      </c>
      <c r="I10" s="8" t="s">
        <v>126</v>
      </c>
    </row>
    <row r="11" spans="1:9" ht="45" x14ac:dyDescent="0.25">
      <c r="A11" s="8" t="s">
        <v>34</v>
      </c>
      <c r="B11" s="10" t="s">
        <v>12</v>
      </c>
      <c r="C11" s="8" t="s">
        <v>127</v>
      </c>
      <c r="D11" s="11" t="s">
        <v>118</v>
      </c>
      <c r="E11" s="11" t="s">
        <v>59</v>
      </c>
      <c r="F11" s="11" t="s">
        <v>58</v>
      </c>
      <c r="G11" s="11" t="s">
        <v>71</v>
      </c>
      <c r="H11" s="11" t="s">
        <v>69</v>
      </c>
      <c r="I11" s="8" t="s">
        <v>128</v>
      </c>
    </row>
    <row r="12" spans="1:9" ht="45" x14ac:dyDescent="0.25">
      <c r="A12" s="8" t="s">
        <v>35</v>
      </c>
      <c r="B12" s="10" t="s">
        <v>12</v>
      </c>
      <c r="C12" s="8" t="s">
        <v>129</v>
      </c>
      <c r="D12" s="11" t="s">
        <v>69</v>
      </c>
      <c r="E12" s="11" t="s">
        <v>71</v>
      </c>
      <c r="F12" s="11" t="s">
        <v>58</v>
      </c>
      <c r="G12" s="11" t="s">
        <v>59</v>
      </c>
      <c r="H12" s="11" t="s">
        <v>60</v>
      </c>
      <c r="I12" s="8" t="s">
        <v>130</v>
      </c>
    </row>
    <row r="15" spans="1:9" x14ac:dyDescent="0.25">
      <c r="A15" s="6" t="s">
        <v>6</v>
      </c>
      <c r="B15" s="6" t="s">
        <v>40</v>
      </c>
    </row>
    <row r="16" spans="1:9" x14ac:dyDescent="0.25">
      <c r="A16" s="7" t="s">
        <v>8</v>
      </c>
      <c r="B16" s="9" t="s">
        <v>54</v>
      </c>
      <c r="C16" s="7" t="s">
        <v>55</v>
      </c>
      <c r="D16" s="9">
        <v>0</v>
      </c>
      <c r="E16" s="9">
        <v>25</v>
      </c>
      <c r="F16" s="9">
        <v>50</v>
      </c>
      <c r="G16" s="9">
        <v>75</v>
      </c>
      <c r="H16" s="9">
        <v>100</v>
      </c>
      <c r="I16" s="7" t="s">
        <v>56</v>
      </c>
    </row>
    <row r="17" spans="1:9" ht="30" x14ac:dyDescent="0.25">
      <c r="A17" s="8" t="s">
        <v>37</v>
      </c>
      <c r="B17" s="10" t="s">
        <v>14</v>
      </c>
      <c r="C17" s="8" t="s">
        <v>131</v>
      </c>
      <c r="D17" s="11" t="s">
        <v>118</v>
      </c>
      <c r="E17" s="11" t="s">
        <v>59</v>
      </c>
      <c r="F17" s="11" t="s">
        <v>58</v>
      </c>
      <c r="G17" s="11" t="s">
        <v>71</v>
      </c>
      <c r="H17" s="11" t="s">
        <v>69</v>
      </c>
      <c r="I17" s="8" t="s">
        <v>132</v>
      </c>
    </row>
    <row r="18" spans="1:9" ht="30" x14ac:dyDescent="0.25">
      <c r="A18" s="8" t="s">
        <v>38</v>
      </c>
      <c r="B18" s="10" t="s">
        <v>14</v>
      </c>
      <c r="C18" s="8" t="s">
        <v>133</v>
      </c>
      <c r="D18" s="11" t="s">
        <v>69</v>
      </c>
      <c r="E18" s="11" t="s">
        <v>71</v>
      </c>
      <c r="F18" s="11" t="s">
        <v>58</v>
      </c>
      <c r="G18" s="11" t="s">
        <v>59</v>
      </c>
      <c r="H18" s="11" t="s">
        <v>60</v>
      </c>
      <c r="I18" s="8" t="s">
        <v>134</v>
      </c>
    </row>
    <row r="19" spans="1:9" ht="45" x14ac:dyDescent="0.25">
      <c r="A19" s="8" t="s">
        <v>39</v>
      </c>
      <c r="B19" s="10" t="s">
        <v>14</v>
      </c>
      <c r="C19" s="8" t="s">
        <v>135</v>
      </c>
      <c r="D19" s="11" t="s">
        <v>62</v>
      </c>
      <c r="E19" s="11" t="s">
        <v>63</v>
      </c>
      <c r="F19" s="11" t="s">
        <v>64</v>
      </c>
      <c r="G19" s="11" t="s">
        <v>65</v>
      </c>
      <c r="H19" s="11" t="s">
        <v>66</v>
      </c>
      <c r="I19" s="8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B3947-022A-4255-8671-2B9E7C6C9988}">
  <dimension ref="A1:I20"/>
  <sheetViews>
    <sheetView topLeftCell="A11" workbookViewId="0"/>
  </sheetViews>
  <sheetFormatPr defaultRowHeight="15" x14ac:dyDescent="0.25"/>
  <cols>
    <col min="1" max="1" width="30.7109375" customWidth="1"/>
    <col min="2" max="2" width="6.7109375" customWidth="1"/>
    <col min="3" max="3" width="45.7109375" customWidth="1"/>
    <col min="4" max="8" width="13.7109375" customWidth="1"/>
    <col min="9" max="9" width="30.7109375" customWidth="1"/>
  </cols>
  <sheetData>
    <row r="1" spans="1:9" x14ac:dyDescent="0.25">
      <c r="A1" s="6" t="s">
        <v>3</v>
      </c>
      <c r="B1" s="6" t="s">
        <v>53</v>
      </c>
    </row>
    <row r="3" spans="1:9" x14ac:dyDescent="0.25">
      <c r="A3" s="6" t="s">
        <v>6</v>
      </c>
      <c r="B3" s="6" t="s">
        <v>45</v>
      </c>
    </row>
    <row r="4" spans="1:9" x14ac:dyDescent="0.25">
      <c r="A4" s="7" t="s">
        <v>8</v>
      </c>
      <c r="B4" s="9" t="s">
        <v>54</v>
      </c>
      <c r="C4" s="7" t="s">
        <v>55</v>
      </c>
      <c r="D4" s="9">
        <v>0</v>
      </c>
      <c r="E4" s="9">
        <v>25</v>
      </c>
      <c r="F4" s="9">
        <v>50</v>
      </c>
      <c r="G4" s="9">
        <v>75</v>
      </c>
      <c r="H4" s="9">
        <v>100</v>
      </c>
      <c r="I4" s="7" t="s">
        <v>56</v>
      </c>
    </row>
    <row r="5" spans="1:9" ht="30" x14ac:dyDescent="0.25">
      <c r="A5" s="8" t="s">
        <v>42</v>
      </c>
      <c r="B5" s="10" t="s">
        <v>14</v>
      </c>
      <c r="C5" s="8" t="s">
        <v>137</v>
      </c>
      <c r="D5" s="11" t="s">
        <v>138</v>
      </c>
      <c r="E5" s="11" t="s">
        <v>139</v>
      </c>
      <c r="F5" s="11" t="s">
        <v>140</v>
      </c>
      <c r="G5" s="11" t="s">
        <v>141</v>
      </c>
      <c r="H5" s="11" t="s">
        <v>66</v>
      </c>
      <c r="I5" s="8" t="s">
        <v>90</v>
      </c>
    </row>
    <row r="6" spans="1:9" ht="30" x14ac:dyDescent="0.25">
      <c r="A6" s="8" t="s">
        <v>43</v>
      </c>
      <c r="B6" s="10" t="s">
        <v>14</v>
      </c>
      <c r="C6" s="8" t="s">
        <v>142</v>
      </c>
      <c r="D6" s="11" t="s">
        <v>143</v>
      </c>
      <c r="E6" s="11" t="s">
        <v>144</v>
      </c>
      <c r="F6" s="11" t="s">
        <v>145</v>
      </c>
      <c r="G6" s="11" t="s">
        <v>146</v>
      </c>
      <c r="H6" s="11" t="s">
        <v>147</v>
      </c>
      <c r="I6" s="8" t="s">
        <v>148</v>
      </c>
    </row>
    <row r="7" spans="1:9" x14ac:dyDescent="0.25">
      <c r="A7" s="8" t="s">
        <v>44</v>
      </c>
      <c r="B7" s="10" t="s">
        <v>14</v>
      </c>
      <c r="C7" s="8" t="s">
        <v>149</v>
      </c>
      <c r="D7" s="11" t="s">
        <v>150</v>
      </c>
      <c r="E7" s="11" t="s">
        <v>151</v>
      </c>
      <c r="F7" s="11" t="s">
        <v>152</v>
      </c>
      <c r="G7" s="11" t="s">
        <v>153</v>
      </c>
      <c r="H7" s="11" t="s">
        <v>154</v>
      </c>
      <c r="I7" s="8" t="s">
        <v>155</v>
      </c>
    </row>
    <row r="10" spans="1:9" x14ac:dyDescent="0.25">
      <c r="A10" s="6" t="s">
        <v>6</v>
      </c>
      <c r="B10" s="6" t="s">
        <v>50</v>
      </c>
    </row>
    <row r="11" spans="1:9" x14ac:dyDescent="0.25">
      <c r="A11" s="7" t="s">
        <v>8</v>
      </c>
      <c r="B11" s="9" t="s">
        <v>54</v>
      </c>
      <c r="C11" s="7" t="s">
        <v>55</v>
      </c>
      <c r="D11" s="9">
        <v>0</v>
      </c>
      <c r="E11" s="9">
        <v>25</v>
      </c>
      <c r="F11" s="9">
        <v>50</v>
      </c>
      <c r="G11" s="9">
        <v>75</v>
      </c>
      <c r="H11" s="9">
        <v>100</v>
      </c>
      <c r="I11" s="7" t="s">
        <v>56</v>
      </c>
    </row>
    <row r="12" spans="1:9" ht="30" x14ac:dyDescent="0.25">
      <c r="A12" s="8" t="s">
        <v>46</v>
      </c>
      <c r="B12" s="10" t="s">
        <v>14</v>
      </c>
      <c r="C12" s="8" t="s">
        <v>156</v>
      </c>
      <c r="D12" s="11" t="s">
        <v>62</v>
      </c>
      <c r="E12" s="11" t="s">
        <v>63</v>
      </c>
      <c r="F12" s="11" t="s">
        <v>64</v>
      </c>
      <c r="G12" s="11" t="s">
        <v>65</v>
      </c>
      <c r="H12" s="11" t="s">
        <v>66</v>
      </c>
      <c r="I12" s="8" t="s">
        <v>157</v>
      </c>
    </row>
    <row r="13" spans="1:9" x14ac:dyDescent="0.25">
      <c r="A13" s="8" t="s">
        <v>47</v>
      </c>
      <c r="B13" s="10" t="s">
        <v>14</v>
      </c>
      <c r="C13" s="8" t="s">
        <v>158</v>
      </c>
      <c r="D13" s="11" t="s">
        <v>66</v>
      </c>
      <c r="E13" s="11" t="s">
        <v>159</v>
      </c>
      <c r="F13" s="11" t="s">
        <v>160</v>
      </c>
      <c r="G13" s="11" t="s">
        <v>161</v>
      </c>
      <c r="H13" s="11" t="s">
        <v>162</v>
      </c>
      <c r="I13" s="8" t="s">
        <v>163</v>
      </c>
    </row>
    <row r="14" spans="1:9" ht="30" x14ac:dyDescent="0.25">
      <c r="A14" s="8" t="s">
        <v>48</v>
      </c>
      <c r="B14" s="10" t="s">
        <v>14</v>
      </c>
      <c r="C14" s="8" t="s">
        <v>164</v>
      </c>
      <c r="D14" s="11" t="s">
        <v>118</v>
      </c>
      <c r="E14" s="11" t="s">
        <v>59</v>
      </c>
      <c r="F14" s="11" t="s">
        <v>58</v>
      </c>
      <c r="G14" s="11" t="s">
        <v>71</v>
      </c>
      <c r="H14" s="11" t="s">
        <v>69</v>
      </c>
      <c r="I14" s="8" t="s">
        <v>165</v>
      </c>
    </row>
    <row r="15" spans="1:9" ht="45" x14ac:dyDescent="0.25">
      <c r="A15" s="8" t="s">
        <v>49</v>
      </c>
      <c r="B15" s="10" t="s">
        <v>14</v>
      </c>
      <c r="C15" s="8" t="s">
        <v>166</v>
      </c>
      <c r="D15" s="11" t="s">
        <v>150</v>
      </c>
      <c r="E15" s="11" t="s">
        <v>167</v>
      </c>
      <c r="F15" s="11" t="s">
        <v>168</v>
      </c>
      <c r="G15" s="11" t="s">
        <v>169</v>
      </c>
      <c r="H15" s="11" t="s">
        <v>170</v>
      </c>
      <c r="I15" s="8" t="s">
        <v>195</v>
      </c>
    </row>
    <row r="18" spans="1:9" x14ac:dyDescent="0.25">
      <c r="A18" s="6" t="s">
        <v>6</v>
      </c>
      <c r="B18" s="6" t="s">
        <v>52</v>
      </c>
    </row>
    <row r="19" spans="1:9" x14ac:dyDescent="0.25">
      <c r="A19" s="7" t="s">
        <v>8</v>
      </c>
      <c r="B19" s="9" t="s">
        <v>54</v>
      </c>
      <c r="C19" s="7" t="s">
        <v>55</v>
      </c>
      <c r="D19" s="9">
        <v>0</v>
      </c>
      <c r="E19" s="9">
        <v>25</v>
      </c>
      <c r="F19" s="9">
        <v>50</v>
      </c>
      <c r="G19" s="9">
        <v>75</v>
      </c>
      <c r="H19" s="9">
        <v>100</v>
      </c>
      <c r="I19" s="7" t="s">
        <v>56</v>
      </c>
    </row>
    <row r="20" spans="1:9" ht="30" x14ac:dyDescent="0.25">
      <c r="A20" s="8" t="s">
        <v>51</v>
      </c>
      <c r="B20" s="10" t="s">
        <v>14</v>
      </c>
      <c r="C20" s="8" t="s">
        <v>171</v>
      </c>
      <c r="D20" s="11" t="s">
        <v>69</v>
      </c>
      <c r="E20" s="11" t="s">
        <v>71</v>
      </c>
      <c r="F20" s="11" t="s">
        <v>58</v>
      </c>
      <c r="G20" s="11" t="s">
        <v>59</v>
      </c>
      <c r="H20" s="11" t="s">
        <v>60</v>
      </c>
      <c r="I20" s="8" t="s">
        <v>172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9D09-8C70-4E60-8680-EF7DD3C105E9}">
  <dimension ref="A1:A22"/>
  <sheetViews>
    <sheetView topLeftCell="A3" workbookViewId="0"/>
  </sheetViews>
  <sheetFormatPr defaultRowHeight="15" x14ac:dyDescent="0.25"/>
  <cols>
    <col min="1" max="1" width="120.7109375" customWidth="1"/>
  </cols>
  <sheetData>
    <row r="1" spans="1:1" ht="18.75" x14ac:dyDescent="0.3">
      <c r="A1" s="14" t="s">
        <v>173</v>
      </c>
    </row>
    <row r="2" spans="1:1" x14ac:dyDescent="0.25">
      <c r="A2" s="12"/>
    </row>
    <row r="3" spans="1:1" x14ac:dyDescent="0.25">
      <c r="A3" s="13" t="s">
        <v>174</v>
      </c>
    </row>
    <row r="4" spans="1:1" ht="30" x14ac:dyDescent="0.25">
      <c r="A4" s="12" t="s">
        <v>175</v>
      </c>
    </row>
    <row r="5" spans="1:1" ht="30" x14ac:dyDescent="0.25">
      <c r="A5" s="12" t="s">
        <v>196</v>
      </c>
    </row>
    <row r="6" spans="1:1" x14ac:dyDescent="0.25">
      <c r="A6" s="12"/>
    </row>
    <row r="7" spans="1:1" ht="45" x14ac:dyDescent="0.25">
      <c r="A7" s="12" t="s">
        <v>176</v>
      </c>
    </row>
    <row r="8" spans="1:1" x14ac:dyDescent="0.25">
      <c r="A8" s="12" t="s">
        <v>177</v>
      </c>
    </row>
    <row r="9" spans="1:1" x14ac:dyDescent="0.25">
      <c r="A9" s="12" t="s">
        <v>178</v>
      </c>
    </row>
    <row r="10" spans="1:1" x14ac:dyDescent="0.25">
      <c r="A10" s="12"/>
    </row>
    <row r="11" spans="1:1" x14ac:dyDescent="0.25">
      <c r="A11" s="13" t="s">
        <v>179</v>
      </c>
    </row>
    <row r="12" spans="1:1" x14ac:dyDescent="0.25">
      <c r="A12" s="12" t="s">
        <v>180</v>
      </c>
    </row>
    <row r="13" spans="1:1" x14ac:dyDescent="0.25">
      <c r="A13" s="12" t="s">
        <v>198</v>
      </c>
    </row>
    <row r="14" spans="1:1" x14ac:dyDescent="0.25">
      <c r="A14" s="12" t="s">
        <v>181</v>
      </c>
    </row>
    <row r="15" spans="1:1" x14ac:dyDescent="0.25">
      <c r="A15" s="12" t="s">
        <v>182</v>
      </c>
    </row>
    <row r="16" spans="1:1" ht="45" x14ac:dyDescent="0.25">
      <c r="A16" s="12" t="s">
        <v>197</v>
      </c>
    </row>
    <row r="17" spans="1:1" x14ac:dyDescent="0.25">
      <c r="A17" s="12"/>
    </row>
    <row r="18" spans="1:1" x14ac:dyDescent="0.25">
      <c r="A18" s="13" t="s">
        <v>199</v>
      </c>
    </row>
    <row r="19" spans="1:1" x14ac:dyDescent="0.25">
      <c r="A19" s="12" t="s">
        <v>183</v>
      </c>
    </row>
    <row r="20" spans="1:1" ht="30" x14ac:dyDescent="0.25">
      <c r="A20" s="12" t="s">
        <v>184</v>
      </c>
    </row>
    <row r="21" spans="1:1" ht="30" x14ac:dyDescent="0.25">
      <c r="A21" s="12" t="s">
        <v>200</v>
      </c>
    </row>
    <row r="22" spans="1:1" x14ac:dyDescent="0.25">
      <c r="A2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QEF</vt:lpstr>
      <vt:lpstr>Funcionalidade</vt:lpstr>
      <vt:lpstr>Eficiência</vt:lpstr>
      <vt:lpstr>Estética</vt:lpstr>
      <vt:lpstr>Usabilidade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De Abreu Lopes</dc:creator>
  <cp:lastModifiedBy>Ricardo Pereira Ferreira</cp:lastModifiedBy>
  <dcterms:created xsi:type="dcterms:W3CDTF">2026-10-21T17:55:53Z</dcterms:created>
  <dcterms:modified xsi:type="dcterms:W3CDTF">2026-10-26T19:28:14Z</dcterms:modified>
</cp:coreProperties>
</file>