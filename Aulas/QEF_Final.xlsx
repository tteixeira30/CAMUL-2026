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6/CAMUL - MEI (1sem) 2026/TP/QEF final/"/>
    </mc:Choice>
  </mc:AlternateContent>
  <xr:revisionPtr revIDLastSave="0" documentId="8_{3AED3015-F11B-EF43-8C68-0B20FE9A71F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QEF" sheetId="1" r:id="rId1"/>
    <sheet name="Functionality" sheetId="2" r:id="rId2"/>
    <sheet name="Efficiency" sheetId="3" r:id="rId3"/>
    <sheet name="Adaptabil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C12" i="1" s="1"/>
  <c r="E2" i="1"/>
  <c r="F2" i="1"/>
  <c r="E4" i="1"/>
  <c r="E21" i="1"/>
  <c r="E26" i="1"/>
  <c r="E29" i="1"/>
  <c r="E35" i="1"/>
  <c r="A39" i="2"/>
  <c r="A32" i="2"/>
  <c r="A31" i="2"/>
  <c r="A24" i="2"/>
  <c r="A23" i="2"/>
  <c r="A16" i="2"/>
  <c r="A15" i="2"/>
  <c r="A14" i="2"/>
  <c r="A7" i="2"/>
  <c r="A6" i="2"/>
  <c r="E11" i="1"/>
  <c r="E9" i="1"/>
  <c r="E7" i="1"/>
  <c r="F11" i="1"/>
  <c r="F9" i="1"/>
  <c r="F7" i="1"/>
  <c r="F4" i="1"/>
  <c r="C21" i="1" l="1"/>
  <c r="C2" i="1"/>
  <c r="B2" i="1" l="1"/>
  <c r="A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tc={3C07BC66-21C5-4579-91F3-A72CE17DD372}</author>
  </authors>
  <commentList>
    <comment ref="C1" authorId="0" shapeId="0" xr:uid="{3C07BC66-21C5-4579-91F3-A72CE17DD37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Eu coloquei algumas células em amarelo, eu acho que essas células são desnecessárias, o que acham?</t>
      </text>
    </comment>
  </commentList>
</comments>
</file>

<file path=xl/sharedStrings.xml><?xml version="1.0" encoding="utf-8"?>
<sst xmlns="http://schemas.openxmlformats.org/spreadsheetml/2006/main" count="359" uniqueCount="280">
  <si>
    <t>q</t>
  </si>
  <si>
    <t>D</t>
  </si>
  <si>
    <t>Qi</t>
  </si>
  <si>
    <t>Dimension</t>
  </si>
  <si>
    <t>Qj</t>
  </si>
  <si>
    <t>Wij</t>
  </si>
  <si>
    <t>Factor</t>
  </si>
  <si>
    <t>rwjk</t>
  </si>
  <si>
    <t>Requirement</t>
  </si>
  <si>
    <t>wfk%</t>
  </si>
  <si>
    <t>Functionality</t>
  </si>
  <si>
    <t>Navigation</t>
  </si>
  <si>
    <t>FN1 - A function to easily Navigate the website (e.g. navigation bar, etc)</t>
  </si>
  <si>
    <t>FN2 - All links redirect to the correct pages/content</t>
  </si>
  <si>
    <t>Interactive Elements, Forms, FAQ</t>
  </si>
  <si>
    <t>FI1 - Interactive elements work as intended</t>
  </si>
  <si>
    <t>FI2 - A FAQ Page exist</t>
  </si>
  <si>
    <t>FI3 - Platform has Quizzes</t>
  </si>
  <si>
    <t>Multimedia, Integrations</t>
  </si>
  <si>
    <t>FM1 - Multimedia elements (images, videos) load correctly</t>
  </si>
  <si>
    <t>FM2 - Progression System</t>
  </si>
  <si>
    <t>Responsiveness, Performance</t>
  </si>
  <si>
    <t>FR1 - Pages and resources load without broken elements</t>
  </si>
  <si>
    <t>FR2 - Feedback is implemented</t>
  </si>
  <si>
    <t>Security, Error Handling</t>
  </si>
  <si>
    <t>FS1 - Error Handling</t>
  </si>
  <si>
    <t xml:space="preserve">Efficiency </t>
  </si>
  <si>
    <t>Efficiency</t>
  </si>
  <si>
    <t>E01: The communication speed is adequate</t>
  </si>
  <si>
    <t xml:space="preserve">E02: The website work realiably </t>
  </si>
  <si>
    <t>E03 - Good performance, capable of handling a large number of simultaneous users.</t>
  </si>
  <si>
    <t>E04 - Scalable, capable of easily adding  future lessons and content  (efficient system growth).</t>
  </si>
  <si>
    <t>E05 - Pages load quickly and efficiently.</t>
  </si>
  <si>
    <t>E06 - Website provides consistent behavior.</t>
  </si>
  <si>
    <t>E08 - Minimal loading times for main sections.</t>
  </si>
  <si>
    <t>E09 - Website main sections and links are functional and responsive.</t>
  </si>
  <si>
    <t>E10 - Navigation menus work consistently across pages.</t>
  </si>
  <si>
    <t>Adaptability</t>
  </si>
  <si>
    <t>Readability</t>
  </si>
  <si>
    <t>AR1 - High contrast between elements</t>
  </si>
  <si>
    <t>AR2 - Clickable elements like links and buttons are easily identifiable.</t>
  </si>
  <si>
    <t>AR3 - Legible font choices</t>
  </si>
  <si>
    <t>AR4 - Adequate line spacing and length</t>
  </si>
  <si>
    <t>AR5 - Readable  typography</t>
  </si>
  <si>
    <t>Ease-of-Use</t>
  </si>
  <si>
    <t>AE1 - Clear and consistent navigation patterns.</t>
  </si>
  <si>
    <t>AE2 - User-friendly and responsive navigation for different devices</t>
  </si>
  <si>
    <t>AE3 - User can jump to any section of the website with ease</t>
  </si>
  <si>
    <t>Accessibility</t>
  </si>
  <si>
    <t>AA1 - Avoid using color as the only means of conveying information.</t>
  </si>
  <si>
    <t>AA2 - Keyboard-only navigation is possible</t>
  </si>
  <si>
    <t>AA3 - Page follows logical reading order for assistive tech</t>
  </si>
  <si>
    <t>AA4 - Resizable text up to 200% without content loss.</t>
  </si>
  <si>
    <t>AA5 - Multimedia content includes captions or transcripts</t>
  </si>
  <si>
    <t>AA6 - Minimize complex language; use plain, understandable text.</t>
  </si>
  <si>
    <t>Support for low end devices</t>
  </si>
  <si>
    <t>AS1 - Fast and responsive regardless of device</t>
  </si>
  <si>
    <t>AS2 - Font choice and size are adequate for all devices</t>
  </si>
  <si>
    <t>AS3 - All features working on all commonly used browsers</t>
  </si>
  <si>
    <t>Wfk - Fullfilment (%)</t>
  </si>
  <si>
    <t>Metric Evaluation</t>
  </si>
  <si>
    <t>Users can easily navigate between main sections using the navigation bar</t>
  </si>
  <si>
    <t>Navigation bar is missing or does not function</t>
  </si>
  <si>
    <t>Navigation works only on some pages, inconsistent structure</t>
  </si>
  <si>
    <t>Navigation mostly works but presents layout inconsistencies</t>
  </si>
  <si>
    <t>Navigation is stable with only minor layout issues</t>
  </si>
  <si>
    <t>Navigation is fully functional, consistent and intuitive across all pages</t>
  </si>
  <si>
    <t>All links correctly redirect to intended pages</t>
  </si>
  <si>
    <t>Most links are broken or redirect incorrectly</t>
  </si>
  <si>
    <t>Several links are incorrect or missing</t>
  </si>
  <si>
    <t>Minor broken links, majority functional</t>
  </si>
  <si>
    <t>All links functional with rare exceptions</t>
  </si>
  <si>
    <t>All links accurate, checked and validated</t>
  </si>
  <si>
    <t>Buttons, forms, and interactions work correctly</t>
  </si>
  <si>
    <t>Buttons, forms, or interactions fail completely</t>
  </si>
  <si>
    <t>Most elements work, some fail intermittently</t>
  </si>
  <si>
    <t>Most work but some are missing feedback</t>
  </si>
  <si>
    <t>Everything functional but with small delays or UI issues</t>
  </si>
  <si>
    <t>All interactions respond correctly, instantly and consistently</t>
  </si>
  <si>
    <t>FAQ section provides useful information to users</t>
  </si>
  <si>
    <t>No FAQ section</t>
  </si>
  <si>
    <t>FAQ present but unclear</t>
  </si>
  <si>
    <t xml:space="preserve">Comprehensive, well-organized, user-friendly FAQ supporting navigation </t>
  </si>
  <si>
    <t>Interactive quizzes are available and functional</t>
  </si>
  <si>
    <t>No quizzes available</t>
  </si>
  <si>
    <t>Quizzes exist but are not functional</t>
  </si>
  <si>
    <t>Some quizzes functional but with errors</t>
  </si>
  <si>
    <t>All quizzes functional with small bugs</t>
  </si>
  <si>
    <t>All quizzes fully functional, responsive and engaging</t>
  </si>
  <si>
    <t>Media loads and displays properly</t>
  </si>
  <si>
    <t>Media fails to load or is missing</t>
  </si>
  <si>
    <t>Some media broken or loading incorrectly</t>
  </si>
  <si>
    <t>Most media loads, but with quality issues</t>
  </si>
  <si>
    <t>Media loads fine but is not optimized</t>
  </si>
  <si>
    <t>All media loads smoothly, at correct resolution and is optimized</t>
  </si>
  <si>
    <t>Any progression or achievement system works correctly</t>
  </si>
  <si>
    <t>System missing or non-functional</t>
  </si>
  <si>
    <t>Partially functional but unreliable</t>
  </si>
  <si>
    <t>Fully functional with minor issues</t>
  </si>
  <si>
    <t>Fully functional, consistent and optimized</t>
  </si>
  <si>
    <t>All resources load correctly</t>
  </si>
  <si>
    <t>Many broken resources, missing assets, or 404s</t>
  </si>
  <si>
    <t>Several missing resources</t>
  </si>
  <si>
    <t>Minor missing visuals</t>
  </si>
  <si>
    <t>Fully loaded pages with rare issues</t>
  </si>
  <si>
    <t>All elements load correctly on all pages</t>
  </si>
  <si>
    <t>Visual or textual feedback provided after actions</t>
  </si>
  <si>
    <t>No feedback provided after user actions</t>
  </si>
  <si>
    <t>Feedback unclear or minimal</t>
  </si>
  <si>
    <t>Immediate, clear, and helpful feedback for all user actions</t>
  </si>
  <si>
    <t>Users receive appropriate error messages when actions fail</t>
  </si>
  <si>
    <t>Errors not handled, crashes or blank screens</t>
  </si>
  <si>
    <t>Errors shown but generic or confusing</t>
  </si>
  <si>
    <t>Minimal error handling, messages too vague</t>
  </si>
  <si>
    <t>Functional error handling with clear messages</t>
  </si>
  <si>
    <t>Robust, user-friendly error handling with explanations and recovery options</t>
  </si>
  <si>
    <t> </t>
  </si>
  <si>
    <t>The communication speed between the wbsite and the user is adequate.</t>
  </si>
  <si>
    <t>The program shows significant delays or frequent freezes</t>
  </si>
  <si>
    <t>The communication speed is inconsistent and sometimes slow</t>
  </si>
  <si>
    <t>The speed is acceptable but with occasional small delays</t>
  </si>
  <si>
    <t>The program responds quickly in most interactions</t>
  </si>
  <si>
    <t>Communication is always fast and smooth, with no noticeable delay for the user</t>
  </si>
  <si>
    <t>The website works reliably, without errors.</t>
  </si>
  <si>
    <t>The program crashes frequently and contains serious errors</t>
  </si>
  <si>
    <t>The program presents occasional errors that compromise usage</t>
  </si>
  <si>
    <t>The program operates steadily, with rare failures</t>
  </si>
  <si>
    <t>The program is reliable and rarely shows technical problems</t>
  </si>
  <si>
    <t>The program works fully stable and reliably, without errors or interruptions</t>
  </si>
  <si>
    <t>E03: Good performance, capable of handling a large number of simultaneous users.</t>
  </si>
  <si>
    <t>The website responds quickly and reliably, even with many simultaneous users.</t>
  </si>
  <si>
    <t>System is slow or unresponsive; cannot handle more than a few users at a time.</t>
  </si>
  <si>
    <t>System performance is acceptable for a small number of users, but degrades significantly under moderate load.</t>
  </si>
  <si>
    <t>System handles moderate load well (e.g., tens of users) but shows lag when a large number of users access simultaneously.</t>
  </si>
  <si>
    <t>System handles a large number of simultaneous users efficiently, with minimal latency or downtime.</t>
  </si>
  <si>
    <t>System performs excellently under peak load; supports a very large number of simultaneous users seamlessly.</t>
  </si>
  <si>
    <t>E04: Scalable, capable of easily adding  future lessons and content (efficient system growth).</t>
  </si>
  <si>
    <t>The system allows easy addition of new lessons and content, scaling efficiently.</t>
  </si>
  <si>
    <t>Adding new lessons or content is cumbersome; system requires major changes or downtime.</t>
  </si>
  <si>
    <t>Adding content is possible but slow and resource-intensive; frequent maintenance required.</t>
  </si>
  <si>
    <t>System allows addition of new content with moderate effort; occasional performance issues may occur.</t>
  </si>
  <si>
    <t>System supports easy addition of lessons and content with minimal effort; scales well with growth.</t>
  </si>
  <si>
    <t>System is highly scalable; new lessons and content can be added seamlessly without affecting performance.</t>
  </si>
  <si>
    <t>E05 - Pages load quickly</t>
  </si>
  <si>
    <t>The website's pages should load quickly and efficiently. (~2-3 seconds)</t>
  </si>
  <si>
    <t>No page loads quickly and efficiently.</t>
  </si>
  <si>
    <t>Some pages load quickly and efficiently.</t>
  </si>
  <si>
    <t>All pages load quickly and efficiently.</t>
  </si>
  <si>
    <t>E06 - Website provides consistent behavior</t>
  </si>
  <si>
    <t>The website's elements should have consistant behavior. (Buttons, links, etc).</t>
  </si>
  <si>
    <t>There's no consistancy in the website.</t>
  </si>
  <si>
    <t>Consistancy is somewhat present throughout the website.</t>
  </si>
  <si>
    <t>There's full consistancy throughout the website.</t>
  </si>
  <si>
    <t>UE07 -Pages and resources load without broken elements.</t>
  </si>
  <si>
    <t>The site displays all components correctly without missing files</t>
  </si>
  <si>
    <t>Many broken or missing elements</t>
  </si>
  <si>
    <t>Several visual issues</t>
  </si>
  <si>
    <t>Only minor missing visuals</t>
  </si>
  <si>
    <t>Pages load fully with rare issues</t>
  </si>
  <si>
    <t>Pages load perfectly with no broken elements</t>
  </si>
  <si>
    <t>The design adapts properly across major browsers</t>
  </si>
  <si>
    <t>Layout breaks completely</t>
  </si>
  <si>
    <t>Layout displays incorrectly on most browsers</t>
  </si>
  <si>
    <t>Layout stable on main browsers only</t>
  </si>
  <si>
    <t>Layout adjusts with minimal issues</t>
  </si>
  <si>
    <t>Layout consistent across all browsers</t>
  </si>
  <si>
    <t>E09 - Website main sections and links are functional and responsive</t>
  </si>
  <si>
    <t>Users can access all primary sections and navigation links without errors or dead ends</t>
  </si>
  <si>
    <t>Sections or links are broken</t>
  </si>
  <si>
    <t>Some links work but navigation is inconsistent</t>
  </si>
  <si>
    <t>Most main links work but not all</t>
  </si>
  <si>
    <t>All links work but some load inconsistently</t>
  </si>
  <si>
    <t>All links and sections work smoothly and respond correctly</t>
  </si>
  <si>
    <t>E10  - Navigation menus work consistently across pages.</t>
  </si>
  <si>
    <t>Users can open and use navigation menus on all pages</t>
  </si>
  <si>
    <t>Menus are not functional</t>
  </si>
  <si>
    <t>Menus work on some pages only</t>
  </si>
  <si>
    <t>Menus work but with layout issues</t>
  </si>
  <si>
    <t>Menus work well but have small inconsistencies</t>
  </si>
  <si>
    <t>Menus function consistently and responsively on all pages</t>
  </si>
  <si>
    <t>High contrast between elements</t>
  </si>
  <si>
    <t>High contrast between text and background.</t>
  </si>
  <si>
    <t>Poor contrast throughout</t>
  </si>
  <si>
    <t>Some readable areas only</t>
  </si>
  <si>
    <t>Acceptable but inconsistent contrast</t>
  </si>
  <si>
    <t>Good contrast except minor issues</t>
  </si>
  <si>
    <t>High contrast and full readability across all content</t>
  </si>
  <si>
    <t>Clickable elements like links and buttons are easily identifiable.</t>
  </si>
  <si>
    <t>Clearly recognizable buttons and links</t>
  </si>
  <si>
    <t>Links/buttons are indistinguishable from text.</t>
  </si>
  <si>
    <t>Only some links/buttons are clear; others are hidden.</t>
  </si>
  <si>
    <t>Most are identifiable, but with inconsistent styling.</t>
  </si>
  <si>
    <t>All are identifiable, but lack clear hover/focus states.</t>
  </si>
  <si>
    <t>All elements are clearly distinct, with consistent and obvious interaction states.</t>
  </si>
  <si>
    <t>Legible font choices</t>
  </si>
  <si>
    <t>Use of clear, appropriately sized, and standard web fonts.</t>
  </si>
  <si>
    <t>Illegible or tiny fonts.</t>
  </si>
  <si>
    <t>Difficult-to-read fonts used in key areas.</t>
  </si>
  <si>
    <t>Fonts are legible, but sizing is inconsistent or slightly small.</t>
  </si>
  <si>
    <t>Fonts are clear and well-sized, with minor non-standard choices.</t>
  </si>
  <si>
    <t>Fonts are exceptionally clear, well-sized, and enhance readability.</t>
  </si>
  <si>
    <t>Adequate line spacing and length</t>
  </si>
  <si>
    <t>Application of appropriate line-height and text block width.</t>
  </si>
  <si>
    <t>Wall of text. Cramped lines and/or excessive line length.</t>
  </si>
  <si>
    <t>Some areas are cramped; others are too wide.</t>
  </si>
  <si>
    <t>Line spacing is acceptable but not ideal; line length is often too long.</t>
  </si>
  <si>
    <t>Good spacing and length in most areas, with minor inconsistencies.</t>
  </si>
  <si>
    <t>Optimal line-height and comfortable line length used consistently.</t>
  </si>
  <si>
    <t>Readable  typography</t>
  </si>
  <si>
    <t>Clear visual hierarchy (headings, paragraphs, lists).</t>
  </si>
  <si>
    <t>No clear structure; content is one large block.</t>
  </si>
  <si>
    <t>Some structure, but illogical or unhelpful (e.g., misuse of headings).</t>
  </si>
  <si>
    <t>Basic structure is present (e.g., H1, paragraphs) but lacks nesting.</t>
  </si>
  <si>
    <t>Good hierarchy, but minor issues (e.g., skipping heading levels).</t>
  </si>
  <si>
    <t>Clear, logical, and consistent hierarchy that guides the user.</t>
  </si>
  <si>
    <t>Clear and consistent navigation patterns.</t>
  </si>
  <si>
    <t>Menus, links and page structure allow users to find main content quickly and predictably</t>
  </si>
  <si>
    <t>No visible or usable navigation</t>
  </si>
  <si>
    <t>Navigation exists but is confusing</t>
  </si>
  <si>
    <t>Navigation workable but inconsistent</t>
  </si>
  <si>
    <t>Navigation mostly clear with minor issues</t>
  </si>
  <si>
    <t>Navigation is intuitive, consistent and complete</t>
  </si>
  <si>
    <t>User-friendly and responsive navigation for different devices</t>
  </si>
  <si>
    <t xml:space="preserve">The website is responsive and easy to navigate independent of the device </t>
  </si>
  <si>
    <t>Only works well on one type of device</t>
  </si>
  <si>
    <t>Partial device support, parts of the site are hard to navegate</t>
  </si>
  <si>
    <t>Navegation Is great in any device</t>
  </si>
  <si>
    <t>User can jump to any section of the website with ease</t>
  </si>
  <si>
    <t>How easy is to accesses an arbritray page of the site, does it have navegation aids and does it help the user find the content</t>
  </si>
  <si>
    <t>Missing all navegation aid, hard to jump to specific sections of the site, and hard to backtrack</t>
  </si>
  <si>
    <t>Missing navegation aid, not very easy to back track or find specific content</t>
  </si>
  <si>
    <t>Navegation is easy supported by navegation aids(breadcrumbs, menus, search), and it is easy to backtrack</t>
  </si>
  <si>
    <t>Avoid using color as the only means of conveying information.</t>
  </si>
  <si>
    <t>The user shouldn't need to be able to distinguish all colors to understand the information in the website.</t>
  </si>
  <si>
    <t>Colors are an essential part of understanding all information</t>
  </si>
  <si>
    <t>All information can be parsed even when not able to distinguish all colors</t>
  </si>
  <si>
    <t>Keyboard-only navigation is possible</t>
  </si>
  <si>
    <t>All sections of the website should be accessible using only a keyboard.</t>
  </si>
  <si>
    <t>A mouse is needed to navigate the website</t>
  </si>
  <si>
    <t>The entire website is accessible with only the keyboard</t>
  </si>
  <si>
    <t>Page follows logical reading order for assistive tech</t>
  </si>
  <si>
    <t>Assistive tech is able to parse the entire website.</t>
  </si>
  <si>
    <t>Assistive tech is not usable on the website</t>
  </si>
  <si>
    <t>All information can be parsed by assistive tech.</t>
  </si>
  <si>
    <t>Resizable text up to 200% without content loss.</t>
  </si>
  <si>
    <t>Text can be resized without cutting out/going offscreen</t>
  </si>
  <si>
    <t>Text cut off when resized at all.</t>
  </si>
  <si>
    <t>Text cuts off when resized more than 100%</t>
  </si>
  <si>
    <t>Text doesn't cut off when resized to 200%</t>
  </si>
  <si>
    <t>Multimedia content includes captions or transcripts</t>
  </si>
  <si>
    <t>Multimedia content (videos, audio) contains transcripts in text.</t>
  </si>
  <si>
    <t>No multimedia content contains captions/transcripts</t>
  </si>
  <si>
    <t>Captions exist but no transcripts.</t>
  </si>
  <si>
    <t>All multimedia content contains both captions and transcriptions</t>
  </si>
  <si>
    <t>Minimize complex language; use plain, understandable text.</t>
  </si>
  <si>
    <t>The language used should not be too technical. You don't need to have preexisting knowledge on a matter to understand what the text says</t>
  </si>
  <si>
    <t>Language used is highly technical and obtuse.</t>
  </si>
  <si>
    <t>Language used is consice, but still contains some technical terms.</t>
  </si>
  <si>
    <t>All language used is plain, simple, and understandable to anyone.</t>
  </si>
  <si>
    <t>Fast and responsive regardless of device</t>
  </si>
  <si>
    <t>Measure average load time, input latency, and frame stability on low-end hardware.</t>
  </si>
  <si>
    <t>App is sluggish or non-functional on low-end devices; load time &gt; 10s; frequent freezes.</t>
  </si>
  <si>
    <t>Basic functions work but with major lag; load time 6–10s.</t>
  </si>
  <si>
    <t>Usable with occasional lag; load time 3–6s.</t>
  </si>
  <si>
    <t>Smooth experience with minor slowdowns; load time 2–3s.</t>
  </si>
  <si>
    <t>Fully responsive and smooth on all devices; load time &lt; 2s.</t>
  </si>
  <si>
    <t>Font choice and size are adequate for all devices</t>
  </si>
  <si>
    <t>Evaluate readability (legibility score), scaling behavior, and accessibility on different screen resolutions.</t>
  </si>
  <si>
    <t>Fonts unreadable or inconsistent; text overlaps or cuts off on small screens.</t>
  </si>
  <si>
    <t>Readable only in some areas; inconsistent sizing; scaling issues.</t>
  </si>
  <si>
    <t>Generally readable but minor font or spacing issues remain.</t>
  </si>
  <si>
    <t>Readable and consistent; minor scaling variations on rare devices.</t>
  </si>
  <si>
    <t>Fully legible and consistent font size across all devices and resolutions.</t>
  </si>
  <si>
    <t>All features working on all commonly used browsers</t>
  </si>
  <si>
    <t>Verify functionality (feature tests) across Chrome, Firefox and Edge (including mobile versions).</t>
  </si>
  <si>
    <t>Major features broken in most browsers.</t>
  </si>
  <si>
    <t>Some key features fail in at least two browsers.</t>
  </si>
  <si>
    <t>Most features work; minor issues in some browsers.</t>
  </si>
  <si>
    <t>All major features work in all browsers; minor UI inconsistencies remain.</t>
  </si>
  <si>
    <t>All features and UI fully functional and consistent across all major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</si>
</sst>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Aptos Narrow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0"/>
      <name val="Aptos Narrow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BEDD5"/>
        <bgColor rgb="FF000000"/>
      </patternFill>
    </fill>
    <fill>
      <patternFill patternType="solid">
        <fgColor rgb="FFD8E4BC"/>
        <bgColor rgb="FFD8E4BC"/>
      </patternFill>
    </fill>
    <fill>
      <patternFill patternType="solid">
        <fgColor theme="1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/>
    <xf numFmtId="0" fontId="4" fillId="8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10" fillId="15" borderId="6" xfId="0" applyFont="1" applyFill="1" applyBorder="1"/>
    <xf numFmtId="0" fontId="2" fillId="16" borderId="4" xfId="0" applyFont="1" applyFill="1" applyBorder="1"/>
    <xf numFmtId="0" fontId="2" fillId="16" borderId="14" xfId="0" applyFont="1" applyFill="1" applyBorder="1"/>
    <xf numFmtId="0" fontId="10" fillId="15" borderId="3" xfId="0" applyFont="1" applyFill="1" applyBorder="1"/>
    <xf numFmtId="0" fontId="2" fillId="16" borderId="15" xfId="0" applyFont="1" applyFill="1" applyBorder="1"/>
    <xf numFmtId="0" fontId="2" fillId="16" borderId="16" xfId="0" applyFont="1" applyFill="1" applyBorder="1"/>
    <xf numFmtId="0" fontId="2" fillId="16" borderId="17" xfId="0" applyFont="1" applyFill="1" applyBorder="1"/>
    <xf numFmtId="0" fontId="2" fillId="16" borderId="18" xfId="0" applyFont="1" applyFill="1" applyBorder="1"/>
    <xf numFmtId="0" fontId="2" fillId="16" borderId="19" xfId="0" applyFont="1" applyFill="1" applyBorder="1"/>
    <xf numFmtId="0" fontId="10" fillId="15" borderId="15" xfId="0" applyFont="1" applyFill="1" applyBorder="1"/>
    <xf numFmtId="0" fontId="1" fillId="17" borderId="12" xfId="0" applyFont="1" applyFill="1" applyBorder="1" applyAlignment="1">
      <alignment wrapText="1"/>
    </xf>
    <xf numFmtId="0" fontId="1" fillId="16" borderId="13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12" xfId="0" applyFont="1" applyBorder="1" applyAlignment="1">
      <alignment wrapText="1"/>
    </xf>
    <xf numFmtId="0" fontId="2" fillId="18" borderId="3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16" borderId="3" xfId="0" applyFont="1" applyFill="1" applyBorder="1" applyAlignment="1">
      <alignment wrapText="1"/>
    </xf>
    <xf numFmtId="0" fontId="2" fillId="16" borderId="15" xfId="0" applyFont="1" applyFill="1" applyBorder="1" applyAlignment="1">
      <alignment wrapText="1"/>
    </xf>
    <xf numFmtId="0" fontId="2" fillId="16" borderId="4" xfId="0" applyFont="1" applyFill="1" applyBorder="1" applyAlignment="1">
      <alignment wrapText="1"/>
    </xf>
    <xf numFmtId="0" fontId="2" fillId="18" borderId="3" xfId="0" applyFont="1" applyFill="1" applyBorder="1"/>
    <xf numFmtId="0" fontId="8" fillId="0" borderId="0" xfId="0" applyFont="1"/>
    <xf numFmtId="0" fontId="14" fillId="0" borderId="6" xfId="0" applyFont="1" applyBorder="1" applyAlignment="1">
      <alignment horizontal="center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0" fillId="21" borderId="6" xfId="0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2" fontId="0" fillId="5" borderId="6" xfId="0" applyNumberForma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horizontal="center" vertical="center" wrapText="1"/>
    </xf>
    <xf numFmtId="0" fontId="2" fillId="23" borderId="21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2" fillId="23" borderId="4" xfId="0" applyFont="1" applyFill="1" applyBorder="1" applyAlignment="1">
      <alignment horizontal="left" vertical="center" wrapText="1"/>
    </xf>
    <xf numFmtId="0" fontId="2" fillId="23" borderId="15" xfId="0" applyFont="1" applyFill="1" applyBorder="1" applyAlignment="1">
      <alignment horizontal="left" vertical="center" wrapText="1"/>
    </xf>
    <xf numFmtId="0" fontId="2" fillId="23" borderId="21" xfId="0" applyFont="1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vertical="center" wrapText="1"/>
    </xf>
    <xf numFmtId="0" fontId="0" fillId="12" borderId="6" xfId="0" applyFill="1" applyBorder="1" applyAlignment="1">
      <alignment horizontal="left" vertical="center" wrapText="1"/>
    </xf>
    <xf numFmtId="0" fontId="0" fillId="13" borderId="6" xfId="0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left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2" fontId="0" fillId="4" borderId="3" xfId="0" applyNumberForma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2" fontId="0" fillId="6" borderId="3" xfId="0" applyNumberForma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2" fontId="0" fillId="7" borderId="3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5" fillId="22" borderId="2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10" fillId="15" borderId="20" xfId="0" applyFont="1" applyFill="1" applyBorder="1"/>
    <xf numFmtId="0" fontId="10" fillId="15" borderId="4" xfId="0" applyFont="1" applyFill="1" applyBorder="1"/>
    <xf numFmtId="0" fontId="11" fillId="8" borderId="5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go Gonçalo Da Silva Pereira Martins" id="{DB003F8C-057E-41FD-AA81-1647BA9EDB8A}" userId="S::1211978@isep.ipp.pt::806c7951-04a6-471a-a8f8-80c0023a55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14T22:11:24.94" personId="{DB003F8C-057E-41FD-AA81-1647BA9EDB8A}" id="{3C07BC66-21C5-4579-91F3-A72CE17DD372}">
    <text>Eu coloquei algumas células em amarelo, eu acho que essas células são desnecessárias, o que acham?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8.33203125" customWidth="1"/>
    <col min="4" max="4" width="17.33203125" customWidth="1"/>
    <col min="5" max="5" width="33" customWidth="1"/>
    <col min="6" max="6" width="13.33203125" customWidth="1"/>
    <col min="7" max="7" width="32.6640625" customWidth="1"/>
    <col min="8" max="8" width="9" customWidth="1"/>
    <col min="9" max="9" width="79.83203125" customWidth="1"/>
    <col min="10" max="10" width="7.5" customWidth="1"/>
    <col min="14" max="14" width="9.5" customWidth="1"/>
  </cols>
  <sheetData>
    <row r="1" spans="1:14" ht="16" x14ac:dyDescent="0.2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</row>
    <row r="2" spans="1:14" ht="15.75" customHeight="1" x14ac:dyDescent="0.2">
      <c r="A2" s="89">
        <f>(1-(B2/(SQRT(3))))</f>
        <v>0</v>
      </c>
      <c r="B2" s="87">
        <f>SQRT((1-C2/100)^2+(1-C12/100)^2+(1-C21/100)^2)</f>
        <v>1.7320508075688772</v>
      </c>
      <c r="C2" s="103">
        <f>SUMPRODUCT(E2:E11, F2:F11)</f>
        <v>0</v>
      </c>
      <c r="D2" s="106" t="s">
        <v>10</v>
      </c>
      <c r="E2" s="116">
        <f>(1/SUM(H2:H3))*SUMPRODUCT(H2:H3,J2:J3)</f>
        <v>0</v>
      </c>
      <c r="F2" s="107">
        <f>COUNT(H2:H3)/COUNT(H2:H11)</f>
        <v>0.2</v>
      </c>
      <c r="G2" s="99" t="s">
        <v>11</v>
      </c>
      <c r="H2" s="61">
        <v>10</v>
      </c>
      <c r="I2" s="71" t="s">
        <v>12</v>
      </c>
      <c r="J2" s="61">
        <v>0</v>
      </c>
    </row>
    <row r="3" spans="1:14" ht="16" x14ac:dyDescent="0.2">
      <c r="A3" s="90"/>
      <c r="B3" s="88"/>
      <c r="C3" s="104"/>
      <c r="D3" s="106"/>
      <c r="E3" s="117"/>
      <c r="F3" s="108"/>
      <c r="G3" s="99"/>
      <c r="H3" s="61">
        <v>10</v>
      </c>
      <c r="I3" s="71" t="s">
        <v>13</v>
      </c>
      <c r="J3" s="61">
        <v>0</v>
      </c>
    </row>
    <row r="4" spans="1:14" ht="16" x14ac:dyDescent="0.2">
      <c r="A4" s="90"/>
      <c r="B4" s="88"/>
      <c r="C4" s="104"/>
      <c r="D4" s="106"/>
      <c r="E4" s="118">
        <f>(1/SUM(H4:H6))*SUMPRODUCT(H4:H6,J4:J6)</f>
        <v>0</v>
      </c>
      <c r="F4" s="109">
        <f>COUNT(H4:H6)/COUNT(H2:H11)</f>
        <v>0.3</v>
      </c>
      <c r="G4" s="102" t="s">
        <v>14</v>
      </c>
      <c r="H4" s="11">
        <v>10</v>
      </c>
      <c r="I4" s="72" t="s">
        <v>15</v>
      </c>
      <c r="J4" s="11">
        <v>0</v>
      </c>
      <c r="M4" s="1"/>
      <c r="N4" s="1"/>
    </row>
    <row r="5" spans="1:14" ht="16" x14ac:dyDescent="0.2">
      <c r="A5" s="90"/>
      <c r="B5" s="88"/>
      <c r="C5" s="104"/>
      <c r="D5" s="106"/>
      <c r="E5" s="119"/>
      <c r="F5" s="110"/>
      <c r="G5" s="102"/>
      <c r="H5" s="11">
        <v>4</v>
      </c>
      <c r="I5" s="73" t="s">
        <v>16</v>
      </c>
      <c r="J5" s="11">
        <v>0</v>
      </c>
      <c r="M5" s="1"/>
      <c r="N5" s="1"/>
    </row>
    <row r="6" spans="1:14" ht="16" x14ac:dyDescent="0.2">
      <c r="A6" s="90"/>
      <c r="B6" s="88"/>
      <c r="C6" s="104"/>
      <c r="D6" s="106"/>
      <c r="E6" s="120"/>
      <c r="F6" s="111"/>
      <c r="G6" s="102"/>
      <c r="H6" s="11">
        <v>8</v>
      </c>
      <c r="I6" s="74" t="s">
        <v>17</v>
      </c>
      <c r="J6" s="11">
        <v>0</v>
      </c>
      <c r="M6" s="1"/>
      <c r="N6" s="1"/>
    </row>
    <row r="7" spans="1:14" ht="16" x14ac:dyDescent="0.2">
      <c r="A7" s="90"/>
      <c r="B7" s="88"/>
      <c r="C7" s="104"/>
      <c r="D7" s="106"/>
      <c r="E7" s="121">
        <f>(1/SUM(H7:H8))*SUMPRODUCT(H7:H8,J7:J8)</f>
        <v>0</v>
      </c>
      <c r="F7" s="112">
        <f>COUNT(H7:H8)/COUNT(H2:H11)</f>
        <v>0.2</v>
      </c>
      <c r="G7" s="100" t="s">
        <v>18</v>
      </c>
      <c r="H7" s="12">
        <v>10</v>
      </c>
      <c r="I7" s="75" t="s">
        <v>19</v>
      </c>
      <c r="J7" s="12">
        <v>0</v>
      </c>
      <c r="M7" s="1"/>
      <c r="N7" s="1"/>
    </row>
    <row r="8" spans="1:14" ht="16" x14ac:dyDescent="0.2">
      <c r="A8" s="90"/>
      <c r="B8" s="88"/>
      <c r="C8" s="104"/>
      <c r="D8" s="106"/>
      <c r="E8" s="122"/>
      <c r="F8" s="113"/>
      <c r="G8" s="100"/>
      <c r="H8" s="12">
        <v>6</v>
      </c>
      <c r="I8" s="75" t="s">
        <v>20</v>
      </c>
      <c r="J8" s="12">
        <v>0</v>
      </c>
      <c r="M8" s="1"/>
      <c r="N8" s="1"/>
    </row>
    <row r="9" spans="1:14" ht="16" x14ac:dyDescent="0.2">
      <c r="A9" s="90"/>
      <c r="B9" s="88"/>
      <c r="C9" s="104"/>
      <c r="D9" s="106"/>
      <c r="E9" s="123">
        <f>(1/SUM(H9:H10))*SUMPRODUCT(H9:H10,J9:J10)</f>
        <v>0</v>
      </c>
      <c r="F9" s="114">
        <f>COUNT(H9:H10)/COUNT(H2:H11)</f>
        <v>0.2</v>
      </c>
      <c r="G9" s="101" t="s">
        <v>21</v>
      </c>
      <c r="H9" s="18">
        <v>8</v>
      </c>
      <c r="I9" s="76" t="s">
        <v>22</v>
      </c>
      <c r="J9" s="18">
        <v>0</v>
      </c>
      <c r="M9" s="1"/>
      <c r="N9" s="1"/>
    </row>
    <row r="10" spans="1:14" ht="16" x14ac:dyDescent="0.2">
      <c r="A10" s="90"/>
      <c r="B10" s="88"/>
      <c r="C10" s="104"/>
      <c r="D10" s="106"/>
      <c r="E10" s="124"/>
      <c r="F10" s="115"/>
      <c r="G10" s="101"/>
      <c r="H10" s="18">
        <v>6</v>
      </c>
      <c r="I10" s="76" t="s">
        <v>23</v>
      </c>
      <c r="J10" s="18">
        <v>0</v>
      </c>
      <c r="M10" s="1"/>
      <c r="N10" s="1"/>
    </row>
    <row r="11" spans="1:14" ht="16" x14ac:dyDescent="0.2">
      <c r="A11" s="90"/>
      <c r="B11" s="88"/>
      <c r="C11" s="105"/>
      <c r="D11" s="106"/>
      <c r="E11" s="20">
        <f>(1/SUM(H11))*SUMPRODUCT(H11,J11)</f>
        <v>0</v>
      </c>
      <c r="F11" s="62">
        <f>COUNT(H11:H11)/COUNT(H2:H11)</f>
        <v>0.1</v>
      </c>
      <c r="G11" s="63" t="s">
        <v>24</v>
      </c>
      <c r="H11" s="20">
        <v>4</v>
      </c>
      <c r="I11" s="77" t="s">
        <v>25</v>
      </c>
      <c r="J11" s="20">
        <v>0</v>
      </c>
      <c r="M11" s="1"/>
      <c r="N11" s="1"/>
    </row>
    <row r="12" spans="1:14" ht="16" x14ac:dyDescent="0.2">
      <c r="A12" s="90"/>
      <c r="B12" s="88"/>
      <c r="C12" s="127">
        <f>SUMPRODUCT(E12:E20, F12:F20)</f>
        <v>0</v>
      </c>
      <c r="D12" s="127" t="s">
        <v>26</v>
      </c>
      <c r="E12" s="125">
        <f>(1/SUM(H12:H20))*SUMPRODUCT(H12:H20,J12:J20)</f>
        <v>0</v>
      </c>
      <c r="F12" s="125">
        <v>1</v>
      </c>
      <c r="G12" s="125" t="s">
        <v>27</v>
      </c>
      <c r="H12" s="65">
        <v>10</v>
      </c>
      <c r="I12" s="78" t="s">
        <v>28</v>
      </c>
      <c r="J12" s="85">
        <v>0</v>
      </c>
      <c r="M12" s="1"/>
      <c r="N12" s="1"/>
    </row>
    <row r="13" spans="1:14" ht="16" x14ac:dyDescent="0.2">
      <c r="A13" s="90"/>
      <c r="B13" s="88"/>
      <c r="C13" s="128"/>
      <c r="D13" s="128"/>
      <c r="E13" s="126"/>
      <c r="F13" s="126"/>
      <c r="G13" s="126"/>
      <c r="H13" s="58">
        <v>10</v>
      </c>
      <c r="I13" s="79" t="s">
        <v>29</v>
      </c>
      <c r="J13" s="85">
        <v>0</v>
      </c>
      <c r="M13" s="1"/>
      <c r="N13" s="1"/>
    </row>
    <row r="14" spans="1:14" ht="16.5" customHeight="1" x14ac:dyDescent="0.2">
      <c r="A14" s="90"/>
      <c r="B14" s="88"/>
      <c r="C14" s="128"/>
      <c r="D14" s="128"/>
      <c r="E14" s="126"/>
      <c r="F14" s="126"/>
      <c r="G14" s="126"/>
      <c r="H14" s="58">
        <v>6</v>
      </c>
      <c r="I14" s="79" t="s">
        <v>30</v>
      </c>
      <c r="J14" s="85">
        <v>0</v>
      </c>
      <c r="M14" s="1"/>
      <c r="N14" s="1"/>
    </row>
    <row r="15" spans="1:14" ht="15.75" customHeight="1" x14ac:dyDescent="0.2">
      <c r="A15" s="90"/>
      <c r="B15" s="88"/>
      <c r="C15" s="128"/>
      <c r="D15" s="128"/>
      <c r="E15" s="126"/>
      <c r="F15" s="126"/>
      <c r="G15" s="126"/>
      <c r="H15" s="58">
        <v>2</v>
      </c>
      <c r="I15" s="79" t="s">
        <v>31</v>
      </c>
      <c r="J15" s="85">
        <v>0</v>
      </c>
      <c r="M15" s="1"/>
      <c r="N15" s="1"/>
    </row>
    <row r="16" spans="1:14" ht="16" x14ac:dyDescent="0.2">
      <c r="A16" s="90"/>
      <c r="B16" s="88"/>
      <c r="C16" s="128"/>
      <c r="D16" s="128"/>
      <c r="E16" s="126"/>
      <c r="F16" s="126"/>
      <c r="G16" s="126"/>
      <c r="H16" s="58">
        <v>8</v>
      </c>
      <c r="I16" s="79" t="s">
        <v>32</v>
      </c>
      <c r="J16" s="85">
        <v>0</v>
      </c>
      <c r="M16" s="1"/>
      <c r="N16" s="1"/>
    </row>
    <row r="17" spans="1:10" ht="16" x14ac:dyDescent="0.2">
      <c r="A17" s="90"/>
      <c r="B17" s="88"/>
      <c r="C17" s="128"/>
      <c r="D17" s="128"/>
      <c r="E17" s="126"/>
      <c r="F17" s="126"/>
      <c r="G17" s="126"/>
      <c r="H17" s="58">
        <v>8</v>
      </c>
      <c r="I17" s="79" t="s">
        <v>33</v>
      </c>
      <c r="J17" s="85">
        <v>0</v>
      </c>
    </row>
    <row r="18" spans="1:10" ht="16" x14ac:dyDescent="0.2">
      <c r="A18" s="90"/>
      <c r="B18" s="88"/>
      <c r="C18" s="128"/>
      <c r="D18" s="128"/>
      <c r="E18" s="126"/>
      <c r="F18" s="126"/>
      <c r="G18" s="126"/>
      <c r="H18" s="58">
        <v>6</v>
      </c>
      <c r="I18" s="79" t="s">
        <v>34</v>
      </c>
      <c r="J18" s="85">
        <v>0</v>
      </c>
    </row>
    <row r="19" spans="1:10" ht="14.25" customHeight="1" x14ac:dyDescent="0.2">
      <c r="A19" s="90"/>
      <c r="B19" s="88"/>
      <c r="C19" s="128"/>
      <c r="D19" s="128"/>
      <c r="E19" s="126"/>
      <c r="F19" s="126"/>
      <c r="G19" s="126"/>
      <c r="H19" s="58">
        <v>8</v>
      </c>
      <c r="I19" s="79" t="s">
        <v>35</v>
      </c>
      <c r="J19" s="85">
        <v>0</v>
      </c>
    </row>
    <row r="20" spans="1:10" ht="16" x14ac:dyDescent="0.2">
      <c r="A20" s="90"/>
      <c r="B20" s="88"/>
      <c r="C20" s="128"/>
      <c r="D20" s="128"/>
      <c r="E20" s="126"/>
      <c r="F20" s="126"/>
      <c r="G20" s="126"/>
      <c r="H20" s="66">
        <v>8</v>
      </c>
      <c r="I20" s="80" t="s">
        <v>36</v>
      </c>
      <c r="J20" s="64">
        <v>0</v>
      </c>
    </row>
    <row r="21" spans="1:10" ht="16" x14ac:dyDescent="0.2">
      <c r="A21" s="90"/>
      <c r="B21" s="88"/>
      <c r="C21" s="98">
        <f>SUMPRODUCT(E21:E37,F21:F37)</f>
        <v>0</v>
      </c>
      <c r="D21" s="98" t="s">
        <v>37</v>
      </c>
      <c r="E21" s="94">
        <f>(1/SUM(H21:H25))*SUMPRODUCT(H21:H25,J21:J25)</f>
        <v>0</v>
      </c>
      <c r="F21" s="91">
        <v>0.3</v>
      </c>
      <c r="G21" s="91" t="s">
        <v>38</v>
      </c>
      <c r="H21" s="67">
        <v>10</v>
      </c>
      <c r="I21" s="81" t="s">
        <v>39</v>
      </c>
      <c r="J21" s="67">
        <v>0</v>
      </c>
    </row>
    <row r="22" spans="1:10" ht="17.25" customHeight="1" x14ac:dyDescent="0.2">
      <c r="A22" s="90"/>
      <c r="B22" s="88"/>
      <c r="C22" s="98"/>
      <c r="D22" s="98"/>
      <c r="E22" s="94"/>
      <c r="F22" s="91"/>
      <c r="G22" s="91"/>
      <c r="H22" s="67">
        <v>10</v>
      </c>
      <c r="I22" s="81" t="s">
        <v>40</v>
      </c>
      <c r="J22" s="67">
        <v>0</v>
      </c>
    </row>
    <row r="23" spans="1:10" ht="16" x14ac:dyDescent="0.2">
      <c r="A23" s="90"/>
      <c r="B23" s="88"/>
      <c r="C23" s="98"/>
      <c r="D23" s="98"/>
      <c r="E23" s="94"/>
      <c r="F23" s="91"/>
      <c r="G23" s="91"/>
      <c r="H23" s="67">
        <v>10</v>
      </c>
      <c r="I23" s="81" t="s">
        <v>41</v>
      </c>
      <c r="J23" s="67">
        <v>0</v>
      </c>
    </row>
    <row r="24" spans="1:10" ht="16" x14ac:dyDescent="0.2">
      <c r="A24" s="90"/>
      <c r="B24" s="88"/>
      <c r="C24" s="98"/>
      <c r="D24" s="98"/>
      <c r="E24" s="94"/>
      <c r="F24" s="91"/>
      <c r="G24" s="91"/>
      <c r="H24" s="67">
        <v>8</v>
      </c>
      <c r="I24" s="81" t="s">
        <v>42</v>
      </c>
      <c r="J24" s="67">
        <v>0</v>
      </c>
    </row>
    <row r="25" spans="1:10" ht="16" x14ac:dyDescent="0.2">
      <c r="A25" s="90"/>
      <c r="B25" s="88"/>
      <c r="C25" s="98"/>
      <c r="D25" s="98"/>
      <c r="E25" s="94"/>
      <c r="F25" s="91"/>
      <c r="G25" s="91"/>
      <c r="H25" s="67">
        <v>8</v>
      </c>
      <c r="I25" s="81" t="s">
        <v>43</v>
      </c>
      <c r="J25" s="67">
        <v>0</v>
      </c>
    </row>
    <row r="26" spans="1:10" ht="16" x14ac:dyDescent="0.2">
      <c r="A26" s="90"/>
      <c r="B26" s="88"/>
      <c r="C26" s="98"/>
      <c r="D26" s="98"/>
      <c r="E26" s="95">
        <f>(1/SUM(H26:H28))*SUMPRODUCT(H26:H28,J26:J28)</f>
        <v>0</v>
      </c>
      <c r="F26" s="92">
        <v>0.3</v>
      </c>
      <c r="G26" s="92" t="s">
        <v>44</v>
      </c>
      <c r="H26" s="68">
        <v>10</v>
      </c>
      <c r="I26" s="82" t="s">
        <v>45</v>
      </c>
      <c r="J26" s="68">
        <v>0</v>
      </c>
    </row>
    <row r="27" spans="1:10" ht="16" x14ac:dyDescent="0.2">
      <c r="A27" s="90"/>
      <c r="B27" s="88"/>
      <c r="C27" s="98"/>
      <c r="D27" s="98"/>
      <c r="E27" s="95"/>
      <c r="F27" s="92"/>
      <c r="G27" s="92"/>
      <c r="H27" s="68">
        <v>6</v>
      </c>
      <c r="I27" s="82" t="s">
        <v>46</v>
      </c>
      <c r="J27" s="68">
        <v>0</v>
      </c>
    </row>
    <row r="28" spans="1:10" ht="16" x14ac:dyDescent="0.2">
      <c r="A28" s="90"/>
      <c r="B28" s="88"/>
      <c r="C28" s="98"/>
      <c r="D28" s="98"/>
      <c r="E28" s="95"/>
      <c r="F28" s="92"/>
      <c r="G28" s="92"/>
      <c r="H28" s="68">
        <v>8</v>
      </c>
      <c r="I28" s="82" t="s">
        <v>47</v>
      </c>
      <c r="J28" s="68">
        <v>0</v>
      </c>
    </row>
    <row r="29" spans="1:10" ht="18" customHeight="1" x14ac:dyDescent="0.2">
      <c r="A29" s="90"/>
      <c r="B29" s="88"/>
      <c r="C29" s="98"/>
      <c r="D29" s="98"/>
      <c r="E29" s="96">
        <f>(1/SUM(H29:H34))*SUMPRODUCT(H29:H34,J29:J34)</f>
        <v>0</v>
      </c>
      <c r="F29" s="93">
        <v>0.3</v>
      </c>
      <c r="G29" s="93" t="s">
        <v>48</v>
      </c>
      <c r="H29" s="69">
        <v>4</v>
      </c>
      <c r="I29" s="83" t="s">
        <v>49</v>
      </c>
      <c r="J29" s="69">
        <v>0</v>
      </c>
    </row>
    <row r="30" spans="1:10" ht="16" x14ac:dyDescent="0.2">
      <c r="A30" s="90"/>
      <c r="B30" s="88"/>
      <c r="C30" s="98"/>
      <c r="D30" s="98"/>
      <c r="E30" s="96"/>
      <c r="F30" s="93"/>
      <c r="G30" s="93"/>
      <c r="H30" s="69">
        <v>8</v>
      </c>
      <c r="I30" s="83" t="s">
        <v>50</v>
      </c>
      <c r="J30" s="69">
        <v>0</v>
      </c>
    </row>
    <row r="31" spans="1:10" ht="16" x14ac:dyDescent="0.2">
      <c r="A31" s="90"/>
      <c r="B31" s="88"/>
      <c r="C31" s="98"/>
      <c r="D31" s="98"/>
      <c r="E31" s="96"/>
      <c r="F31" s="93"/>
      <c r="G31" s="93"/>
      <c r="H31" s="69">
        <v>8</v>
      </c>
      <c r="I31" s="83" t="s">
        <v>51</v>
      </c>
      <c r="J31" s="69">
        <v>0</v>
      </c>
    </row>
    <row r="32" spans="1:10" ht="16" x14ac:dyDescent="0.2">
      <c r="A32" s="90"/>
      <c r="B32" s="88"/>
      <c r="C32" s="98"/>
      <c r="D32" s="98"/>
      <c r="E32" s="96"/>
      <c r="F32" s="93"/>
      <c r="G32" s="93"/>
      <c r="H32" s="69">
        <v>10</v>
      </c>
      <c r="I32" s="83" t="s">
        <v>52</v>
      </c>
      <c r="J32" s="69">
        <v>0</v>
      </c>
    </row>
    <row r="33" spans="1:10" ht="16" x14ac:dyDescent="0.2">
      <c r="A33" s="90"/>
      <c r="B33" s="88"/>
      <c r="C33" s="98"/>
      <c r="D33" s="98"/>
      <c r="E33" s="96"/>
      <c r="F33" s="93"/>
      <c r="G33" s="93"/>
      <c r="H33" s="69">
        <v>8</v>
      </c>
      <c r="I33" s="83" t="s">
        <v>53</v>
      </c>
      <c r="J33" s="69">
        <v>0</v>
      </c>
    </row>
    <row r="34" spans="1:10" ht="16" x14ac:dyDescent="0.2">
      <c r="A34" s="90"/>
      <c r="B34" s="88"/>
      <c r="C34" s="98"/>
      <c r="D34" s="98"/>
      <c r="E34" s="96"/>
      <c r="F34" s="93"/>
      <c r="G34" s="93"/>
      <c r="H34" s="69">
        <v>6</v>
      </c>
      <c r="I34" s="83" t="s">
        <v>54</v>
      </c>
      <c r="J34" s="69">
        <v>0</v>
      </c>
    </row>
    <row r="35" spans="1:10" ht="16" x14ac:dyDescent="0.2">
      <c r="A35" s="90"/>
      <c r="B35" s="88"/>
      <c r="C35" s="98"/>
      <c r="D35" s="98"/>
      <c r="E35" s="97">
        <f>(1/SUM(H35:H37))*SUMPRODUCT(H35:H37,J35:J37)</f>
        <v>0</v>
      </c>
      <c r="F35" s="86">
        <v>0.1</v>
      </c>
      <c r="G35" s="86" t="s">
        <v>55</v>
      </c>
      <c r="H35" s="70">
        <v>6</v>
      </c>
      <c r="I35" s="84" t="s">
        <v>56</v>
      </c>
      <c r="J35" s="70">
        <v>0</v>
      </c>
    </row>
    <row r="36" spans="1:10" ht="16" x14ac:dyDescent="0.2">
      <c r="A36" s="90"/>
      <c r="B36" s="88"/>
      <c r="C36" s="98"/>
      <c r="D36" s="98"/>
      <c r="E36" s="97"/>
      <c r="F36" s="86"/>
      <c r="G36" s="86"/>
      <c r="H36" s="70">
        <v>2</v>
      </c>
      <c r="I36" s="84" t="s">
        <v>57</v>
      </c>
      <c r="J36" s="70">
        <v>0</v>
      </c>
    </row>
    <row r="37" spans="1:10" ht="16" x14ac:dyDescent="0.2">
      <c r="A37" s="90"/>
      <c r="B37" s="88"/>
      <c r="C37" s="98"/>
      <c r="D37" s="98"/>
      <c r="E37" s="97"/>
      <c r="F37" s="86"/>
      <c r="G37" s="86"/>
      <c r="H37" s="70">
        <v>10</v>
      </c>
      <c r="I37" s="84" t="s">
        <v>58</v>
      </c>
      <c r="J37" s="70">
        <v>0</v>
      </c>
    </row>
    <row r="38" spans="1:10" x14ac:dyDescent="0.2">
      <c r="H38" s="4"/>
    </row>
  </sheetData>
  <mergeCells count="35">
    <mergeCell ref="G12:G20"/>
    <mergeCell ref="C12:C20"/>
    <mergeCell ref="D12:D20"/>
    <mergeCell ref="E12:E20"/>
    <mergeCell ref="F12:F20"/>
    <mergeCell ref="G2:G3"/>
    <mergeCell ref="G7:G8"/>
    <mergeCell ref="G9:G10"/>
    <mergeCell ref="G4:G6"/>
    <mergeCell ref="C2:C11"/>
    <mergeCell ref="D2:D11"/>
    <mergeCell ref="F2:F3"/>
    <mergeCell ref="F4:F6"/>
    <mergeCell ref="F7:F8"/>
    <mergeCell ref="F9:F10"/>
    <mergeCell ref="E2:E3"/>
    <mergeCell ref="E4:E6"/>
    <mergeCell ref="E7:E8"/>
    <mergeCell ref="E9:E10"/>
    <mergeCell ref="F35:F37"/>
    <mergeCell ref="G35:G37"/>
    <mergeCell ref="B2:B37"/>
    <mergeCell ref="A2:A37"/>
    <mergeCell ref="F21:F25"/>
    <mergeCell ref="G21:G25"/>
    <mergeCell ref="F26:F28"/>
    <mergeCell ref="G26:G28"/>
    <mergeCell ref="F29:F34"/>
    <mergeCell ref="G29:G34"/>
    <mergeCell ref="E21:E25"/>
    <mergeCell ref="E26:E28"/>
    <mergeCell ref="E29:E34"/>
    <mergeCell ref="E35:E37"/>
    <mergeCell ref="C21:C37"/>
    <mergeCell ref="D21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150C-A7E0-48A2-83AF-1F880B10812C}">
  <dimension ref="A1:G39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37.33203125" customWidth="1"/>
    <col min="2" max="2" width="48.1640625" customWidth="1"/>
    <col min="3" max="7" width="32.33203125" customWidth="1"/>
  </cols>
  <sheetData>
    <row r="1" spans="1:7" ht="16" x14ac:dyDescent="0.2">
      <c r="A1" s="2" t="s">
        <v>3</v>
      </c>
      <c r="B1" s="3" t="s">
        <v>10</v>
      </c>
      <c r="C1" s="4"/>
      <c r="D1" s="4"/>
      <c r="E1" s="4"/>
      <c r="F1" s="4"/>
      <c r="G1" s="4"/>
    </row>
    <row r="2" spans="1:7" ht="16" x14ac:dyDescent="0.2">
      <c r="A2" s="2" t="s">
        <v>6</v>
      </c>
      <c r="B2" s="3" t="s">
        <v>11</v>
      </c>
      <c r="C2" s="4"/>
      <c r="D2" s="4"/>
      <c r="E2" s="4"/>
      <c r="F2" s="4"/>
      <c r="G2" s="4"/>
    </row>
    <row r="3" spans="1:7" x14ac:dyDescent="0.2">
      <c r="A3" s="4"/>
      <c r="B3" s="4"/>
      <c r="C3" s="4"/>
      <c r="D3" s="4"/>
      <c r="E3" s="4"/>
      <c r="F3" s="4"/>
      <c r="G3" s="4"/>
    </row>
    <row r="4" spans="1:7" x14ac:dyDescent="0.2">
      <c r="A4" s="5"/>
      <c r="B4" s="5"/>
      <c r="C4" s="129" t="s">
        <v>59</v>
      </c>
      <c r="D4" s="130"/>
      <c r="E4" s="130"/>
      <c r="F4" s="130"/>
      <c r="G4" s="131"/>
    </row>
    <row r="5" spans="1:7" ht="16" x14ac:dyDescent="0.2">
      <c r="A5" s="7" t="s">
        <v>8</v>
      </c>
      <c r="B5" s="6" t="s">
        <v>60</v>
      </c>
      <c r="C5" s="6">
        <v>0</v>
      </c>
      <c r="D5" s="6">
        <v>25</v>
      </c>
      <c r="E5" s="6">
        <v>50</v>
      </c>
      <c r="F5" s="6">
        <v>75</v>
      </c>
      <c r="G5" s="6">
        <v>100</v>
      </c>
    </row>
    <row r="6" spans="1:7" ht="32" x14ac:dyDescent="0.2">
      <c r="A6" s="8" t="str">
        <f>QEF!I2</f>
        <v>FN1 - A function to easily Navigate the website (e.g. navigation bar, etc)</v>
      </c>
      <c r="B6" s="9" t="s">
        <v>61</v>
      </c>
      <c r="C6" s="9" t="s">
        <v>62</v>
      </c>
      <c r="D6" s="21" t="s">
        <v>63</v>
      </c>
      <c r="E6" s="9" t="s">
        <v>64</v>
      </c>
      <c r="F6" s="21" t="s">
        <v>65</v>
      </c>
      <c r="G6" s="9" t="s">
        <v>66</v>
      </c>
    </row>
    <row r="7" spans="1:7" ht="28" x14ac:dyDescent="0.2">
      <c r="A7" s="8" t="str">
        <f>QEF!I3</f>
        <v>FN2 - All links redirect to the correct pages/content</v>
      </c>
      <c r="B7" s="9" t="s">
        <v>67</v>
      </c>
      <c r="C7" s="10" t="s">
        <v>68</v>
      </c>
      <c r="D7" s="22" t="s">
        <v>69</v>
      </c>
      <c r="E7" s="22" t="s">
        <v>70</v>
      </c>
      <c r="F7" s="22" t="s">
        <v>71</v>
      </c>
      <c r="G7" s="10" t="s">
        <v>72</v>
      </c>
    </row>
    <row r="8" spans="1:7" x14ac:dyDescent="0.2">
      <c r="A8" s="4"/>
      <c r="B8" s="4"/>
      <c r="C8" s="4"/>
      <c r="D8" s="4"/>
      <c r="E8" s="4"/>
      <c r="F8" s="4"/>
      <c r="G8" s="4"/>
    </row>
    <row r="9" spans="1:7" x14ac:dyDescent="0.2">
      <c r="A9" s="4"/>
      <c r="B9" s="4"/>
      <c r="C9" s="4"/>
      <c r="D9" s="4"/>
      <c r="E9" s="4"/>
      <c r="F9" s="4"/>
      <c r="G9" s="4"/>
    </row>
    <row r="10" spans="1:7" ht="16" x14ac:dyDescent="0.2">
      <c r="A10" s="2" t="s">
        <v>6</v>
      </c>
      <c r="B10" s="3" t="s">
        <v>14</v>
      </c>
      <c r="C10" s="4"/>
      <c r="D10" s="4"/>
      <c r="E10" s="4"/>
      <c r="F10" s="4"/>
      <c r="G10" s="4"/>
    </row>
    <row r="11" spans="1:7" x14ac:dyDescent="0.2">
      <c r="A11" s="4"/>
      <c r="B11" s="4"/>
      <c r="C11" s="4"/>
      <c r="D11" s="4"/>
      <c r="E11" s="4"/>
      <c r="F11" s="4"/>
      <c r="G11" s="4"/>
    </row>
    <row r="12" spans="1:7" x14ac:dyDescent="0.2">
      <c r="A12" s="5"/>
      <c r="B12" s="5"/>
      <c r="C12" s="129" t="s">
        <v>59</v>
      </c>
      <c r="D12" s="130"/>
      <c r="E12" s="130"/>
      <c r="F12" s="130"/>
      <c r="G12" s="131"/>
    </row>
    <row r="13" spans="1:7" ht="16" x14ac:dyDescent="0.2">
      <c r="A13" s="7" t="s">
        <v>8</v>
      </c>
      <c r="B13" s="6" t="s">
        <v>60</v>
      </c>
      <c r="C13" s="6">
        <v>0</v>
      </c>
      <c r="D13" s="6">
        <v>25</v>
      </c>
      <c r="E13" s="6">
        <v>50</v>
      </c>
      <c r="F13" s="6">
        <v>75</v>
      </c>
      <c r="G13" s="6">
        <v>100</v>
      </c>
    </row>
    <row r="14" spans="1:7" ht="32" x14ac:dyDescent="0.2">
      <c r="A14" s="11" t="str">
        <f>QEF!I4</f>
        <v>FI1 - Interactive elements work as intended</v>
      </c>
      <c r="B14" s="9" t="s">
        <v>73</v>
      </c>
      <c r="C14" s="9" t="s">
        <v>74</v>
      </c>
      <c r="D14" s="9" t="s">
        <v>75</v>
      </c>
      <c r="E14" s="9" t="s">
        <v>76</v>
      </c>
      <c r="F14" s="9" t="s">
        <v>77</v>
      </c>
      <c r="G14" s="9" t="s">
        <v>78</v>
      </c>
    </row>
    <row r="15" spans="1:7" ht="32" x14ac:dyDescent="0.2">
      <c r="A15" s="11" t="str">
        <f>QEF!I5</f>
        <v>FI2 - A FAQ Page exist</v>
      </c>
      <c r="B15" s="9" t="s">
        <v>79</v>
      </c>
      <c r="C15" s="9" t="s">
        <v>80</v>
      </c>
      <c r="D15" s="21"/>
      <c r="E15" s="9" t="s">
        <v>81</v>
      </c>
      <c r="F15" s="23"/>
      <c r="G15" s="9" t="s">
        <v>82</v>
      </c>
    </row>
    <row r="16" spans="1:7" ht="32" x14ac:dyDescent="0.2">
      <c r="A16" s="11" t="str">
        <f>QEF!I6</f>
        <v>FI3 - Platform has Quizzes</v>
      </c>
      <c r="B16" s="9" t="s">
        <v>83</v>
      </c>
      <c r="C16" s="9" t="s">
        <v>84</v>
      </c>
      <c r="D16" s="21" t="s">
        <v>85</v>
      </c>
      <c r="E16" s="9" t="s">
        <v>86</v>
      </c>
      <c r="F16" s="21" t="s">
        <v>87</v>
      </c>
      <c r="G16" s="9" t="s">
        <v>88</v>
      </c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ht="16" x14ac:dyDescent="0.2">
      <c r="A19" s="2" t="s">
        <v>6</v>
      </c>
      <c r="B19" s="3" t="s">
        <v>18</v>
      </c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  <row r="21" spans="1:7" x14ac:dyDescent="0.2">
      <c r="A21" s="5"/>
      <c r="B21" s="5"/>
      <c r="C21" s="129" t="s">
        <v>59</v>
      </c>
      <c r="D21" s="130"/>
      <c r="E21" s="130"/>
      <c r="F21" s="130"/>
      <c r="G21" s="131"/>
    </row>
    <row r="22" spans="1:7" ht="16" x14ac:dyDescent="0.2">
      <c r="A22" s="7" t="s">
        <v>8</v>
      </c>
      <c r="B22" s="6" t="s">
        <v>60</v>
      </c>
      <c r="C22" s="6">
        <v>0</v>
      </c>
      <c r="D22" s="6">
        <v>25</v>
      </c>
      <c r="E22" s="6">
        <v>50</v>
      </c>
      <c r="F22" s="6">
        <v>75</v>
      </c>
      <c r="G22" s="6">
        <v>100</v>
      </c>
    </row>
    <row r="23" spans="1:7" ht="32" x14ac:dyDescent="0.2">
      <c r="A23" s="12" t="str">
        <f>QEF!I7</f>
        <v>FM1 - Multimedia elements (images, videos) load correctly</v>
      </c>
      <c r="B23" s="13" t="s">
        <v>89</v>
      </c>
      <c r="C23" s="9" t="s">
        <v>90</v>
      </c>
      <c r="D23" s="21" t="s">
        <v>91</v>
      </c>
      <c r="E23" s="9" t="s">
        <v>92</v>
      </c>
      <c r="F23" s="21" t="s">
        <v>93</v>
      </c>
      <c r="G23" s="9" t="s">
        <v>94</v>
      </c>
    </row>
    <row r="24" spans="1:7" ht="32" x14ac:dyDescent="0.2">
      <c r="A24" s="14" t="str">
        <f>QEF!I8</f>
        <v>FM2 - Progression System</v>
      </c>
      <c r="B24" s="15" t="s">
        <v>95</v>
      </c>
      <c r="C24" s="16" t="s">
        <v>96</v>
      </c>
      <c r="D24" s="9" t="s">
        <v>97</v>
      </c>
      <c r="E24" s="9"/>
      <c r="F24" s="9" t="s">
        <v>98</v>
      </c>
      <c r="G24" s="9" t="s">
        <v>99</v>
      </c>
    </row>
    <row r="25" spans="1:7" x14ac:dyDescent="0.2">
      <c r="A25" s="17"/>
      <c r="B25" s="17"/>
      <c r="C25" s="17"/>
      <c r="D25" s="17"/>
      <c r="E25" s="17"/>
      <c r="F25" s="17"/>
      <c r="G25" s="17"/>
    </row>
    <row r="26" spans="1:7" x14ac:dyDescent="0.2">
      <c r="A26" s="4"/>
      <c r="B26" s="4"/>
      <c r="C26" s="4"/>
      <c r="D26" s="4"/>
      <c r="E26" s="4"/>
      <c r="F26" s="4"/>
      <c r="G26" s="4"/>
    </row>
    <row r="27" spans="1:7" ht="16" x14ac:dyDescent="0.2">
      <c r="A27" s="2" t="s">
        <v>6</v>
      </c>
      <c r="B27" s="3" t="s">
        <v>21</v>
      </c>
      <c r="C27" s="4"/>
      <c r="D27" s="4"/>
      <c r="E27" s="4"/>
      <c r="F27" s="4"/>
      <c r="G27" s="4"/>
    </row>
    <row r="28" spans="1:7" x14ac:dyDescent="0.2">
      <c r="A28" s="4"/>
      <c r="B28" s="4"/>
      <c r="C28" s="4"/>
      <c r="D28" s="4"/>
      <c r="E28" s="4"/>
      <c r="F28" s="4"/>
      <c r="G28" s="4"/>
    </row>
    <row r="29" spans="1:7" x14ac:dyDescent="0.2">
      <c r="A29" s="5"/>
      <c r="B29" s="5"/>
      <c r="C29" s="129" t="s">
        <v>59</v>
      </c>
      <c r="D29" s="130"/>
      <c r="E29" s="130"/>
      <c r="F29" s="130"/>
      <c r="G29" s="131"/>
    </row>
    <row r="30" spans="1:7" ht="16" x14ac:dyDescent="0.2">
      <c r="A30" s="7" t="s">
        <v>8</v>
      </c>
      <c r="B30" s="6" t="s">
        <v>60</v>
      </c>
      <c r="C30" s="6">
        <v>0</v>
      </c>
      <c r="D30" s="6">
        <v>25</v>
      </c>
      <c r="E30" s="6">
        <v>50</v>
      </c>
      <c r="F30" s="6">
        <v>75</v>
      </c>
      <c r="G30" s="6">
        <v>100</v>
      </c>
    </row>
    <row r="31" spans="1:7" ht="32" x14ac:dyDescent="0.2">
      <c r="A31" s="18" t="str">
        <f>QEF!I9</f>
        <v>FR1 - Pages and resources load without broken elements</v>
      </c>
      <c r="B31" s="9" t="s">
        <v>100</v>
      </c>
      <c r="C31" s="9" t="s">
        <v>101</v>
      </c>
      <c r="D31" s="21" t="s">
        <v>102</v>
      </c>
      <c r="E31" s="9" t="s">
        <v>103</v>
      </c>
      <c r="F31" s="21" t="s">
        <v>104</v>
      </c>
      <c r="G31" s="9" t="s">
        <v>105</v>
      </c>
    </row>
    <row r="32" spans="1:7" ht="32" x14ac:dyDescent="0.2">
      <c r="A32" s="18" t="str">
        <f>QEF!I10</f>
        <v>FR2 - Feedback is implemented</v>
      </c>
      <c r="B32" s="9" t="s">
        <v>106</v>
      </c>
      <c r="C32" s="9" t="s">
        <v>107</v>
      </c>
      <c r="D32" s="21"/>
      <c r="E32" s="19" t="s">
        <v>108</v>
      </c>
      <c r="F32" s="24"/>
      <c r="G32" s="16" t="s">
        <v>109</v>
      </c>
    </row>
    <row r="33" spans="1:7" x14ac:dyDescent="0.2">
      <c r="A33" s="17"/>
      <c r="B33" s="17"/>
      <c r="C33" s="17"/>
      <c r="D33" s="17"/>
      <c r="E33" s="17"/>
      <c r="F33" s="17"/>
      <c r="G33" s="17"/>
    </row>
    <row r="34" spans="1:7" x14ac:dyDescent="0.2">
      <c r="A34" s="4"/>
      <c r="B34" s="4"/>
      <c r="C34" s="4"/>
      <c r="D34" s="4"/>
      <c r="E34" s="4"/>
      <c r="F34" s="4"/>
      <c r="G34" s="4"/>
    </row>
    <row r="35" spans="1:7" ht="16" x14ac:dyDescent="0.2">
      <c r="A35" s="2" t="s">
        <v>6</v>
      </c>
      <c r="B35" s="3" t="s">
        <v>24</v>
      </c>
      <c r="C35" s="4"/>
      <c r="D35" s="4"/>
      <c r="E35" s="4"/>
      <c r="F35" s="4"/>
      <c r="G35" s="4"/>
    </row>
    <row r="36" spans="1:7" x14ac:dyDescent="0.2">
      <c r="A36" s="4"/>
      <c r="B36" s="4"/>
      <c r="C36" s="4"/>
      <c r="D36" s="4"/>
      <c r="E36" s="4"/>
      <c r="F36" s="4"/>
      <c r="G36" s="4"/>
    </row>
    <row r="37" spans="1:7" x14ac:dyDescent="0.2">
      <c r="A37" s="5"/>
      <c r="B37" s="5"/>
      <c r="C37" s="129" t="s">
        <v>59</v>
      </c>
      <c r="D37" s="130"/>
      <c r="E37" s="130"/>
      <c r="F37" s="130"/>
      <c r="G37" s="131"/>
    </row>
    <row r="38" spans="1:7" ht="16" x14ac:dyDescent="0.2">
      <c r="A38" s="7" t="s">
        <v>8</v>
      </c>
      <c r="B38" s="6" t="s">
        <v>60</v>
      </c>
      <c r="C38" s="6">
        <v>0</v>
      </c>
      <c r="D38" s="6">
        <v>25</v>
      </c>
      <c r="E38" s="6">
        <v>50</v>
      </c>
      <c r="F38" s="6">
        <v>75</v>
      </c>
      <c r="G38" s="6">
        <v>100</v>
      </c>
    </row>
    <row r="39" spans="1:7" ht="32" x14ac:dyDescent="0.2">
      <c r="A39" s="20" t="str">
        <f>QEF!I11</f>
        <v>FS1 - Error Handling</v>
      </c>
      <c r="B39" s="9" t="s">
        <v>110</v>
      </c>
      <c r="C39" s="9" t="s">
        <v>111</v>
      </c>
      <c r="D39" s="9" t="s">
        <v>112</v>
      </c>
      <c r="E39" s="9" t="s">
        <v>113</v>
      </c>
      <c r="F39" s="9" t="s">
        <v>114</v>
      </c>
      <c r="G39" s="9" t="s">
        <v>115</v>
      </c>
    </row>
  </sheetData>
  <mergeCells count="5">
    <mergeCell ref="C37:G37"/>
    <mergeCell ref="C4:G4"/>
    <mergeCell ref="C12:G12"/>
    <mergeCell ref="C21:G21"/>
    <mergeCell ref="C29:G2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AFFD-DE9F-4B8B-9893-1062DA021387}">
  <dimension ref="A1:G15"/>
  <sheetViews>
    <sheetView topLeftCell="A11" workbookViewId="0">
      <selection activeCell="E6" sqref="E6"/>
    </sheetView>
  </sheetViews>
  <sheetFormatPr baseColWidth="10" defaultColWidth="8.83203125" defaultRowHeight="15" x14ac:dyDescent="0.2"/>
  <cols>
    <col min="1" max="7" width="27.1640625" customWidth="1"/>
  </cols>
  <sheetData>
    <row r="1" spans="1:7" x14ac:dyDescent="0.2">
      <c r="A1" s="25" t="s">
        <v>3</v>
      </c>
      <c r="B1" s="26" t="s">
        <v>27</v>
      </c>
      <c r="C1" s="27" t="s">
        <v>116</v>
      </c>
      <c r="D1" s="27" t="s">
        <v>116</v>
      </c>
      <c r="E1" s="27" t="s">
        <v>116</v>
      </c>
      <c r="F1" s="27" t="s">
        <v>116</v>
      </c>
      <c r="G1" s="27" t="s">
        <v>116</v>
      </c>
    </row>
    <row r="2" spans="1:7" x14ac:dyDescent="0.2">
      <c r="A2" s="28" t="s">
        <v>6</v>
      </c>
      <c r="B2" s="29" t="s">
        <v>27</v>
      </c>
      <c r="C2" s="30" t="s">
        <v>116</v>
      </c>
      <c r="D2" s="30" t="s">
        <v>116</v>
      </c>
      <c r="E2" s="30" t="s">
        <v>116</v>
      </c>
      <c r="F2" s="30" t="s">
        <v>116</v>
      </c>
      <c r="G2" s="30" t="s">
        <v>116</v>
      </c>
    </row>
    <row r="3" spans="1:7" x14ac:dyDescent="0.2">
      <c r="A3" s="31" t="s">
        <v>116</v>
      </c>
      <c r="B3" s="30" t="s">
        <v>116</v>
      </c>
      <c r="C3" s="32" t="s">
        <v>116</v>
      </c>
      <c r="D3" s="32" t="s">
        <v>116</v>
      </c>
      <c r="E3" s="32" t="s">
        <v>116</v>
      </c>
      <c r="F3" s="32" t="s">
        <v>116</v>
      </c>
      <c r="G3" s="32" t="s">
        <v>116</v>
      </c>
    </row>
    <row r="4" spans="1:7" x14ac:dyDescent="0.2">
      <c r="A4" s="33" t="s">
        <v>116</v>
      </c>
      <c r="B4" s="29" t="s">
        <v>116</v>
      </c>
      <c r="C4" s="132" t="s">
        <v>59</v>
      </c>
      <c r="D4" s="132"/>
      <c r="E4" s="132"/>
      <c r="F4" s="132"/>
      <c r="G4" s="133"/>
    </row>
    <row r="5" spans="1:7" x14ac:dyDescent="0.2">
      <c r="A5" s="28" t="s">
        <v>8</v>
      </c>
      <c r="B5" s="34" t="s">
        <v>60</v>
      </c>
      <c r="C5" s="34">
        <v>0</v>
      </c>
      <c r="D5" s="34">
        <v>25</v>
      </c>
      <c r="E5" s="34">
        <v>50</v>
      </c>
      <c r="F5" s="34">
        <v>75</v>
      </c>
      <c r="G5" s="34">
        <v>100</v>
      </c>
    </row>
    <row r="6" spans="1:7" ht="48" x14ac:dyDescent="0.2">
      <c r="A6" s="35" t="s">
        <v>28</v>
      </c>
      <c r="B6" s="36" t="s">
        <v>117</v>
      </c>
      <c r="C6" s="37" t="s">
        <v>118</v>
      </c>
      <c r="D6" s="37" t="s">
        <v>119</v>
      </c>
      <c r="E6" s="37" t="s">
        <v>120</v>
      </c>
      <c r="F6" s="37" t="s">
        <v>121</v>
      </c>
      <c r="G6" s="37" t="s">
        <v>122</v>
      </c>
    </row>
    <row r="7" spans="1:7" ht="48" x14ac:dyDescent="0.2">
      <c r="A7" s="35" t="s">
        <v>29</v>
      </c>
      <c r="B7" s="38" t="s">
        <v>123</v>
      </c>
      <c r="C7" s="39" t="s">
        <v>124</v>
      </c>
      <c r="D7" s="37" t="s">
        <v>125</v>
      </c>
      <c r="E7" s="37" t="s">
        <v>126</v>
      </c>
      <c r="F7" s="37" t="s">
        <v>127</v>
      </c>
      <c r="G7" s="37" t="s">
        <v>128</v>
      </c>
    </row>
    <row r="8" spans="1:7" ht="64" x14ac:dyDescent="0.2">
      <c r="A8" s="40" t="s">
        <v>129</v>
      </c>
      <c r="B8" s="41" t="s">
        <v>130</v>
      </c>
      <c r="C8" s="42" t="s">
        <v>131</v>
      </c>
      <c r="D8" s="43" t="s">
        <v>132</v>
      </c>
      <c r="E8" s="43" t="s">
        <v>133</v>
      </c>
      <c r="F8" s="43" t="s">
        <v>134</v>
      </c>
      <c r="G8" s="43" t="s">
        <v>135</v>
      </c>
    </row>
    <row r="9" spans="1:7" ht="64" x14ac:dyDescent="0.2">
      <c r="A9" s="40" t="s">
        <v>136</v>
      </c>
      <c r="B9" s="44" t="s">
        <v>137</v>
      </c>
      <c r="C9" s="43" t="s">
        <v>138</v>
      </c>
      <c r="D9" s="43" t="s">
        <v>139</v>
      </c>
      <c r="E9" s="43" t="s">
        <v>140</v>
      </c>
      <c r="F9" s="43" t="s">
        <v>141</v>
      </c>
      <c r="G9" s="43" t="s">
        <v>142</v>
      </c>
    </row>
    <row r="10" spans="1:7" ht="48" x14ac:dyDescent="0.2">
      <c r="A10" s="45" t="s">
        <v>143</v>
      </c>
      <c r="B10" s="43" t="s">
        <v>144</v>
      </c>
      <c r="C10" s="43" t="s">
        <v>145</v>
      </c>
      <c r="D10" s="43" t="s">
        <v>116</v>
      </c>
      <c r="E10" s="43" t="s">
        <v>146</v>
      </c>
      <c r="F10" s="43" t="s">
        <v>116</v>
      </c>
      <c r="G10" s="43" t="s">
        <v>147</v>
      </c>
    </row>
    <row r="11" spans="1:7" ht="48" x14ac:dyDescent="0.2">
      <c r="A11" s="45" t="s">
        <v>148</v>
      </c>
      <c r="B11" s="43" t="s">
        <v>149</v>
      </c>
      <c r="C11" s="43" t="s">
        <v>150</v>
      </c>
      <c r="D11" s="43" t="s">
        <v>116</v>
      </c>
      <c r="E11" s="43" t="s">
        <v>151</v>
      </c>
      <c r="F11" s="43" t="s">
        <v>116</v>
      </c>
      <c r="G11" s="43" t="s">
        <v>152</v>
      </c>
    </row>
    <row r="12" spans="1:7" ht="32" x14ac:dyDescent="0.2">
      <c r="A12" s="45" t="s">
        <v>153</v>
      </c>
      <c r="B12" s="43" t="s">
        <v>154</v>
      </c>
      <c r="C12" s="43" t="s">
        <v>155</v>
      </c>
      <c r="D12" s="46" t="s">
        <v>156</v>
      </c>
      <c r="E12" s="42" t="s">
        <v>157</v>
      </c>
      <c r="F12" s="43" t="s">
        <v>158</v>
      </c>
      <c r="G12" s="43" t="s">
        <v>159</v>
      </c>
    </row>
    <row r="13" spans="1:7" ht="32" x14ac:dyDescent="0.2">
      <c r="A13" s="40" t="s">
        <v>34</v>
      </c>
      <c r="B13" s="43" t="s">
        <v>160</v>
      </c>
      <c r="C13" s="43" t="s">
        <v>161</v>
      </c>
      <c r="D13" s="44" t="s">
        <v>162</v>
      </c>
      <c r="E13" s="43" t="s">
        <v>163</v>
      </c>
      <c r="F13" s="43" t="s">
        <v>164</v>
      </c>
      <c r="G13" s="43" t="s">
        <v>165</v>
      </c>
    </row>
    <row r="14" spans="1:7" ht="48" x14ac:dyDescent="0.2">
      <c r="A14" s="40" t="s">
        <v>166</v>
      </c>
      <c r="B14" s="43" t="s">
        <v>167</v>
      </c>
      <c r="C14" s="43" t="s">
        <v>168</v>
      </c>
      <c r="D14" s="43" t="s">
        <v>169</v>
      </c>
      <c r="E14" s="43" t="s">
        <v>170</v>
      </c>
      <c r="F14" s="43" t="s">
        <v>171</v>
      </c>
      <c r="G14" s="43" t="s">
        <v>172</v>
      </c>
    </row>
    <row r="15" spans="1:7" ht="32" x14ac:dyDescent="0.2">
      <c r="A15" s="40" t="s">
        <v>173</v>
      </c>
      <c r="B15" s="43" t="s">
        <v>174</v>
      </c>
      <c r="C15" s="43" t="s">
        <v>175</v>
      </c>
      <c r="D15" s="43" t="s">
        <v>176</v>
      </c>
      <c r="E15" s="43" t="s">
        <v>177</v>
      </c>
      <c r="F15" s="43" t="s">
        <v>178</v>
      </c>
      <c r="G15" s="43" t="s">
        <v>179</v>
      </c>
    </row>
  </sheetData>
  <mergeCells count="1">
    <mergeCell ref="C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7C0B-DE8F-46CE-947D-BCF8DF4048E3}">
  <dimension ref="A1:G40"/>
  <sheetViews>
    <sheetView workbookViewId="0"/>
  </sheetViews>
  <sheetFormatPr baseColWidth="10" defaultColWidth="8.83203125" defaultRowHeight="15" x14ac:dyDescent="0.2"/>
  <cols>
    <col min="1" max="1" width="54.5" customWidth="1"/>
    <col min="2" max="2" width="26.5" customWidth="1"/>
    <col min="3" max="3" width="22.5" customWidth="1"/>
    <col min="4" max="4" width="26.5" customWidth="1"/>
    <col min="5" max="5" width="20.5" customWidth="1"/>
    <col min="6" max="6" width="24.5" customWidth="1"/>
    <col min="7" max="7" width="23.6640625" customWidth="1"/>
  </cols>
  <sheetData>
    <row r="1" spans="1:7" ht="16" x14ac:dyDescent="0.2">
      <c r="A1" s="52" t="s">
        <v>3</v>
      </c>
      <c r="B1" s="53" t="s">
        <v>37</v>
      </c>
      <c r="C1" s="54"/>
      <c r="D1" s="54"/>
      <c r="E1" s="54"/>
      <c r="F1" s="54"/>
      <c r="G1" s="54"/>
    </row>
    <row r="2" spans="1:7" ht="16" x14ac:dyDescent="0.2">
      <c r="A2" s="52" t="s">
        <v>6</v>
      </c>
      <c r="B2" s="53" t="s">
        <v>38</v>
      </c>
      <c r="C2" s="54"/>
      <c r="D2" s="54"/>
      <c r="E2" s="54"/>
      <c r="F2" s="54"/>
      <c r="G2" s="54"/>
    </row>
    <row r="3" spans="1:7" x14ac:dyDescent="0.2">
      <c r="A3" s="54"/>
      <c r="B3" s="54"/>
      <c r="C3" s="54"/>
      <c r="D3" s="54"/>
      <c r="E3" s="54"/>
      <c r="F3" s="54"/>
      <c r="G3" s="54"/>
    </row>
    <row r="4" spans="1:7" x14ac:dyDescent="0.2">
      <c r="A4" s="54"/>
      <c r="B4" s="54"/>
      <c r="C4" s="134" t="s">
        <v>59</v>
      </c>
      <c r="D4" s="135"/>
      <c r="E4" s="135"/>
      <c r="F4" s="135"/>
      <c r="G4" s="136"/>
    </row>
    <row r="5" spans="1:7" ht="16" x14ac:dyDescent="0.2">
      <c r="A5" s="52" t="s">
        <v>8</v>
      </c>
      <c r="B5" s="52" t="s">
        <v>60</v>
      </c>
      <c r="C5" s="52">
        <v>0</v>
      </c>
      <c r="D5" s="52">
        <v>25</v>
      </c>
      <c r="E5" s="52">
        <v>50</v>
      </c>
      <c r="F5" s="52">
        <v>75</v>
      </c>
      <c r="G5" s="52">
        <v>100</v>
      </c>
    </row>
    <row r="6" spans="1:7" ht="28" x14ac:dyDescent="0.2">
      <c r="A6" s="50" t="s">
        <v>180</v>
      </c>
      <c r="B6" s="47" t="s">
        <v>181</v>
      </c>
      <c r="C6" s="47" t="s">
        <v>182</v>
      </c>
      <c r="D6" s="47" t="s">
        <v>183</v>
      </c>
      <c r="E6" s="47" t="s">
        <v>184</v>
      </c>
      <c r="F6" s="47" t="s">
        <v>185</v>
      </c>
      <c r="G6" s="47" t="s">
        <v>186</v>
      </c>
    </row>
    <row r="7" spans="1:7" ht="42" x14ac:dyDescent="0.2">
      <c r="A7" s="50" t="s">
        <v>187</v>
      </c>
      <c r="B7" s="47" t="s">
        <v>188</v>
      </c>
      <c r="C7" s="47" t="s">
        <v>189</v>
      </c>
      <c r="D7" s="47" t="s">
        <v>190</v>
      </c>
      <c r="E7" s="47" t="s">
        <v>191</v>
      </c>
      <c r="F7" s="47" t="s">
        <v>192</v>
      </c>
      <c r="G7" s="47" t="s">
        <v>193</v>
      </c>
    </row>
    <row r="8" spans="1:7" ht="42" x14ac:dyDescent="0.2">
      <c r="A8" s="50" t="s">
        <v>194</v>
      </c>
      <c r="B8" s="47" t="s">
        <v>195</v>
      </c>
      <c r="C8" s="47" t="s">
        <v>196</v>
      </c>
      <c r="D8" s="47" t="s">
        <v>197</v>
      </c>
      <c r="E8" s="47" t="s">
        <v>198</v>
      </c>
      <c r="F8" s="47" t="s">
        <v>199</v>
      </c>
      <c r="G8" s="47" t="s">
        <v>200</v>
      </c>
    </row>
    <row r="9" spans="1:7" ht="56" x14ac:dyDescent="0.2">
      <c r="A9" s="50" t="s">
        <v>201</v>
      </c>
      <c r="B9" s="47" t="s">
        <v>202</v>
      </c>
      <c r="C9" s="47" t="s">
        <v>203</v>
      </c>
      <c r="D9" s="47" t="s">
        <v>204</v>
      </c>
      <c r="E9" s="47" t="s">
        <v>205</v>
      </c>
      <c r="F9" s="47" t="s">
        <v>206</v>
      </c>
      <c r="G9" s="47" t="s">
        <v>207</v>
      </c>
    </row>
    <row r="10" spans="1:7" ht="56" x14ac:dyDescent="0.2">
      <c r="A10" s="50" t="s">
        <v>208</v>
      </c>
      <c r="B10" s="47" t="s">
        <v>209</v>
      </c>
      <c r="C10" s="47" t="s">
        <v>210</v>
      </c>
      <c r="D10" s="47" t="s">
        <v>211</v>
      </c>
      <c r="E10" s="47" t="s">
        <v>212</v>
      </c>
      <c r="F10" s="47" t="s">
        <v>213</v>
      </c>
      <c r="G10" s="47" t="s">
        <v>214</v>
      </c>
    </row>
    <row r="11" spans="1:7" x14ac:dyDescent="0.2">
      <c r="A11" s="49"/>
      <c r="B11" s="54"/>
      <c r="C11" s="54"/>
      <c r="D11" s="54"/>
      <c r="E11" s="54"/>
      <c r="F11" s="54"/>
      <c r="G11" s="54"/>
    </row>
    <row r="12" spans="1:7" x14ac:dyDescent="0.2">
      <c r="A12" s="54"/>
      <c r="B12" s="54"/>
      <c r="C12" s="54"/>
      <c r="D12" s="54"/>
      <c r="E12" s="54"/>
      <c r="F12" s="54"/>
      <c r="G12" s="54"/>
    </row>
    <row r="13" spans="1:7" ht="16" x14ac:dyDescent="0.2">
      <c r="A13" s="52" t="s">
        <v>6</v>
      </c>
      <c r="B13" s="53" t="s">
        <v>44</v>
      </c>
      <c r="C13" s="54"/>
      <c r="D13" s="54"/>
      <c r="E13" s="54"/>
      <c r="F13" s="54"/>
      <c r="G13" s="54"/>
    </row>
    <row r="14" spans="1:7" x14ac:dyDescent="0.2">
      <c r="A14" s="54"/>
      <c r="B14" s="54"/>
      <c r="C14" s="54"/>
      <c r="D14" s="54"/>
      <c r="E14" s="54"/>
      <c r="F14" s="54"/>
      <c r="G14" s="54"/>
    </row>
    <row r="15" spans="1:7" x14ac:dyDescent="0.2">
      <c r="A15" s="54"/>
      <c r="B15" s="54"/>
      <c r="C15" s="134" t="s">
        <v>59</v>
      </c>
      <c r="D15" s="135"/>
      <c r="E15" s="135"/>
      <c r="F15" s="135"/>
      <c r="G15" s="136"/>
    </row>
    <row r="16" spans="1:7" ht="16" x14ac:dyDescent="0.2">
      <c r="A16" s="52" t="s">
        <v>8</v>
      </c>
      <c r="B16" s="52" t="s">
        <v>60</v>
      </c>
      <c r="C16" s="52">
        <v>0</v>
      </c>
      <c r="D16" s="52">
        <v>25</v>
      </c>
      <c r="E16" s="52">
        <v>50</v>
      </c>
      <c r="F16" s="52">
        <v>75</v>
      </c>
      <c r="G16" s="52">
        <v>100</v>
      </c>
    </row>
    <row r="17" spans="1:7" ht="42" x14ac:dyDescent="0.2">
      <c r="A17" s="50" t="s">
        <v>215</v>
      </c>
      <c r="B17" s="47" t="s">
        <v>216</v>
      </c>
      <c r="C17" s="47" t="s">
        <v>217</v>
      </c>
      <c r="D17" s="47" t="s">
        <v>218</v>
      </c>
      <c r="E17" s="47" t="s">
        <v>219</v>
      </c>
      <c r="F17" s="47" t="s">
        <v>220</v>
      </c>
      <c r="G17" s="47" t="s">
        <v>221</v>
      </c>
    </row>
    <row r="18" spans="1:7" ht="42" x14ac:dyDescent="0.2">
      <c r="A18" s="50" t="s">
        <v>222</v>
      </c>
      <c r="B18" s="47" t="s">
        <v>223</v>
      </c>
      <c r="C18" s="47" t="s">
        <v>224</v>
      </c>
      <c r="D18" s="48"/>
      <c r="E18" s="47" t="s">
        <v>225</v>
      </c>
      <c r="F18" s="48"/>
      <c r="G18" s="47" t="s">
        <v>226</v>
      </c>
    </row>
    <row r="19" spans="1:7" ht="70" x14ac:dyDescent="0.2">
      <c r="A19" s="50" t="s">
        <v>227</v>
      </c>
      <c r="B19" s="47" t="s">
        <v>228</v>
      </c>
      <c r="C19" s="47" t="s">
        <v>229</v>
      </c>
      <c r="D19" s="48"/>
      <c r="E19" s="47" t="s">
        <v>230</v>
      </c>
      <c r="F19" s="48"/>
      <c r="G19" s="47" t="s">
        <v>231</v>
      </c>
    </row>
    <row r="20" spans="1:7" x14ac:dyDescent="0.2">
      <c r="A20" s="17"/>
      <c r="B20" s="17"/>
      <c r="C20" s="17"/>
      <c r="D20" s="17"/>
      <c r="E20" s="17"/>
      <c r="F20" s="17"/>
      <c r="G20" s="17"/>
    </row>
    <row r="21" spans="1:7" x14ac:dyDescent="0.2">
      <c r="A21" s="17"/>
      <c r="B21" s="17"/>
      <c r="C21" s="17"/>
      <c r="D21" s="17"/>
      <c r="E21" s="17"/>
      <c r="F21" s="17"/>
      <c r="G21" s="17"/>
    </row>
    <row r="22" spans="1:7" ht="16" x14ac:dyDescent="0.2">
      <c r="A22" s="55" t="s">
        <v>6</v>
      </c>
      <c r="B22" s="9" t="s">
        <v>48</v>
      </c>
      <c r="C22" s="54"/>
      <c r="D22" s="54"/>
      <c r="E22" s="54"/>
      <c r="F22" s="54"/>
      <c r="G22" s="54"/>
    </row>
    <row r="23" spans="1:7" x14ac:dyDescent="0.2">
      <c r="A23" s="54"/>
      <c r="B23" s="54"/>
      <c r="C23" s="54"/>
      <c r="D23" s="54"/>
      <c r="E23" s="54"/>
      <c r="F23" s="54"/>
      <c r="G23" s="54"/>
    </row>
    <row r="24" spans="1:7" x14ac:dyDescent="0.2">
      <c r="A24" s="54"/>
      <c r="B24" s="54"/>
      <c r="C24" s="134" t="s">
        <v>59</v>
      </c>
      <c r="D24" s="135"/>
      <c r="E24" s="135"/>
      <c r="F24" s="135"/>
      <c r="G24" s="136"/>
    </row>
    <row r="25" spans="1:7" ht="16" x14ac:dyDescent="0.2">
      <c r="A25" s="56" t="s">
        <v>8</v>
      </c>
      <c r="B25" s="52" t="s">
        <v>60</v>
      </c>
      <c r="C25" s="52">
        <v>0</v>
      </c>
      <c r="D25" s="52">
        <v>25</v>
      </c>
      <c r="E25" s="52">
        <v>50</v>
      </c>
      <c r="F25" s="52">
        <v>75</v>
      </c>
      <c r="G25" s="52">
        <v>100</v>
      </c>
    </row>
    <row r="26" spans="1:7" ht="56" x14ac:dyDescent="0.2">
      <c r="A26" s="57" t="s">
        <v>232</v>
      </c>
      <c r="B26" s="51" t="s">
        <v>233</v>
      </c>
      <c r="C26" s="47" t="s">
        <v>234</v>
      </c>
      <c r="D26" s="48"/>
      <c r="E26" s="48"/>
      <c r="F26" s="48"/>
      <c r="G26" s="47" t="s">
        <v>235</v>
      </c>
    </row>
    <row r="27" spans="1:7" ht="48" x14ac:dyDescent="0.2">
      <c r="A27" s="57" t="s">
        <v>236</v>
      </c>
      <c r="B27" s="17" t="s">
        <v>237</v>
      </c>
      <c r="C27" s="47" t="s">
        <v>238</v>
      </c>
      <c r="D27" s="48"/>
      <c r="E27" s="48"/>
      <c r="F27" s="48"/>
      <c r="G27" s="47" t="s">
        <v>239</v>
      </c>
    </row>
    <row r="28" spans="1:7" ht="28" x14ac:dyDescent="0.2">
      <c r="A28" s="57" t="s">
        <v>240</v>
      </c>
      <c r="B28" s="51" t="s">
        <v>241</v>
      </c>
      <c r="C28" s="47" t="s">
        <v>242</v>
      </c>
      <c r="D28" s="48"/>
      <c r="E28" s="48"/>
      <c r="F28" s="48"/>
      <c r="G28" s="47" t="s">
        <v>243</v>
      </c>
    </row>
    <row r="29" spans="1:7" ht="28" x14ac:dyDescent="0.2">
      <c r="A29" s="57" t="s">
        <v>244</v>
      </c>
      <c r="B29" s="51" t="s">
        <v>245</v>
      </c>
      <c r="C29" s="47" t="s">
        <v>246</v>
      </c>
      <c r="D29" s="48"/>
      <c r="E29" s="47" t="s">
        <v>247</v>
      </c>
      <c r="F29" s="48"/>
      <c r="G29" s="47" t="s">
        <v>248</v>
      </c>
    </row>
    <row r="30" spans="1:7" ht="42" x14ac:dyDescent="0.2">
      <c r="A30" s="57" t="s">
        <v>249</v>
      </c>
      <c r="B30" s="51" t="s">
        <v>250</v>
      </c>
      <c r="C30" s="47" t="s">
        <v>251</v>
      </c>
      <c r="D30" s="48"/>
      <c r="E30" s="47" t="s">
        <v>252</v>
      </c>
      <c r="F30" s="48"/>
      <c r="G30" s="47" t="s">
        <v>253</v>
      </c>
    </row>
    <row r="31" spans="1:7" ht="70" x14ac:dyDescent="0.2">
      <c r="A31" s="57" t="s">
        <v>254</v>
      </c>
      <c r="B31" s="51" t="s">
        <v>255</v>
      </c>
      <c r="C31" s="47" t="s">
        <v>256</v>
      </c>
      <c r="D31" s="48"/>
      <c r="E31" s="47" t="s">
        <v>257</v>
      </c>
      <c r="F31" s="48"/>
      <c r="G31" s="47" t="s">
        <v>258</v>
      </c>
    </row>
    <row r="32" spans="1:7" x14ac:dyDescent="0.2">
      <c r="A32" s="49"/>
      <c r="B32" s="49"/>
      <c r="C32" s="49"/>
      <c r="D32" s="49"/>
      <c r="E32" s="49"/>
      <c r="F32" s="49"/>
      <c r="G32" s="49"/>
    </row>
    <row r="33" spans="1:7" x14ac:dyDescent="0.2">
      <c r="A33" s="17"/>
      <c r="B33" s="17"/>
      <c r="C33" s="17"/>
      <c r="D33" s="49"/>
      <c r="E33" s="49"/>
      <c r="F33" s="49"/>
      <c r="G33" s="49"/>
    </row>
    <row r="34" spans="1:7" ht="16" x14ac:dyDescent="0.2">
      <c r="A34" s="52" t="s">
        <v>6</v>
      </c>
      <c r="B34" s="53" t="s">
        <v>55</v>
      </c>
      <c r="C34" s="54"/>
      <c r="D34" s="54"/>
      <c r="E34" s="54"/>
      <c r="F34" s="54"/>
      <c r="G34" s="54"/>
    </row>
    <row r="35" spans="1:7" x14ac:dyDescent="0.2">
      <c r="A35" s="54"/>
      <c r="B35" s="54"/>
      <c r="C35" s="54"/>
      <c r="D35" s="54"/>
      <c r="E35" s="54"/>
      <c r="F35" s="54"/>
      <c r="G35" s="54"/>
    </row>
    <row r="36" spans="1:7" x14ac:dyDescent="0.2">
      <c r="A36" s="54"/>
      <c r="B36" s="54"/>
      <c r="C36" s="134" t="s">
        <v>59</v>
      </c>
      <c r="D36" s="135"/>
      <c r="E36" s="135"/>
      <c r="F36" s="135"/>
      <c r="G36" s="136"/>
    </row>
    <row r="37" spans="1:7" ht="16" x14ac:dyDescent="0.2">
      <c r="A37" s="52" t="s">
        <v>8</v>
      </c>
      <c r="B37" s="52" t="s">
        <v>60</v>
      </c>
      <c r="C37" s="52">
        <v>0</v>
      </c>
      <c r="D37" s="52">
        <v>25</v>
      </c>
      <c r="E37" s="52">
        <v>50</v>
      </c>
      <c r="F37" s="52">
        <v>75</v>
      </c>
      <c r="G37" s="52">
        <v>100</v>
      </c>
    </row>
    <row r="38" spans="1:7" ht="56" x14ac:dyDescent="0.2">
      <c r="A38" s="50" t="s">
        <v>259</v>
      </c>
      <c r="B38" s="47" t="s">
        <v>260</v>
      </c>
      <c r="C38" s="47" t="s">
        <v>261</v>
      </c>
      <c r="D38" s="47" t="s">
        <v>262</v>
      </c>
      <c r="E38" s="47" t="s">
        <v>263</v>
      </c>
      <c r="F38" s="47" t="s">
        <v>264</v>
      </c>
      <c r="G38" s="47" t="s">
        <v>265</v>
      </c>
    </row>
    <row r="39" spans="1:7" ht="56" x14ac:dyDescent="0.2">
      <c r="A39" s="50" t="s">
        <v>266</v>
      </c>
      <c r="B39" s="47" t="s">
        <v>267</v>
      </c>
      <c r="C39" s="47" t="s">
        <v>268</v>
      </c>
      <c r="D39" s="47" t="s">
        <v>269</v>
      </c>
      <c r="E39" s="47" t="s">
        <v>270</v>
      </c>
      <c r="F39" s="47" t="s">
        <v>271</v>
      </c>
      <c r="G39" s="47" t="s">
        <v>272</v>
      </c>
    </row>
    <row r="40" spans="1:7" ht="56" x14ac:dyDescent="0.2">
      <c r="A40" s="50" t="s">
        <v>273</v>
      </c>
      <c r="B40" s="47" t="s">
        <v>274</v>
      </c>
      <c r="C40" s="47" t="s">
        <v>275</v>
      </c>
      <c r="D40" s="47" t="s">
        <v>276</v>
      </c>
      <c r="E40" s="47" t="s">
        <v>277</v>
      </c>
      <c r="F40" s="47" t="s">
        <v>278</v>
      </c>
      <c r="G40" s="47" t="s">
        <v>279</v>
      </c>
    </row>
  </sheetData>
  <mergeCells count="4">
    <mergeCell ref="C4:G4"/>
    <mergeCell ref="C15:G15"/>
    <mergeCell ref="C24:G24"/>
    <mergeCell ref="C36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QEF</vt:lpstr>
      <vt:lpstr>Functionality</vt:lpstr>
      <vt:lpstr>Efficiency</vt:lpstr>
      <vt:lpstr>Adaptability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Escudeiro</cp:lastModifiedBy>
  <cp:revision/>
  <dcterms:created xsi:type="dcterms:W3CDTF">2025-11-11T18:28:49Z</dcterms:created>
  <dcterms:modified xsi:type="dcterms:W3CDTF">2025-11-18T19:24:09Z</dcterms:modified>
  <cp:category/>
  <cp:contentStatus/>
</cp:coreProperties>
</file>